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原価集計表\"/>
    </mc:Choice>
  </mc:AlternateContent>
  <bookViews>
    <workbookView xWindow="0" yWindow="0" windowWidth="12450" windowHeight="10110" xr2:uid="{EE093CDE-A0FB-41F5-804D-9656E9FBF27E}"/>
  </bookViews>
  <sheets>
    <sheet name="集計" sheetId="11" r:id="rId1"/>
    <sheet name="DET" sheetId="31" r:id="rId2"/>
    <sheet name="カラコンワークス" sheetId="8" r:id="rId3"/>
    <sheet name="サンシティ" sheetId="1" r:id="rId4"/>
    <sheet name="中央コンタクト" sheetId="10" r:id="rId5"/>
    <sheet name="シンシア" sheetId="4" r:id="rId6"/>
    <sheet name="サンプル" sheetId="9" r:id="rId7"/>
    <sheet name="サンプル中央コンタクト" sheetId="23" r:id="rId8"/>
    <sheet name="1day10枚14.0mm" sheetId="24" r:id="rId9"/>
    <sheet name="1day10枚14.2mm" sheetId="25" r:id="rId10"/>
    <sheet name="1day30枚14.2mm" sheetId="26" r:id="rId11"/>
    <sheet name="1day10枚14.5mm" sheetId="27" r:id="rId12"/>
    <sheet name="1dayクリア" sheetId="28" r:id="rId13"/>
    <sheet name="1month" sheetId="29" r:id="rId14"/>
    <sheet name="SBY" sheetId="13" r:id="rId15"/>
    <sheet name="ライズアップ" sheetId="3" r:id="rId16"/>
    <sheet name="ロキ" sheetId="30" r:id="rId17"/>
    <sheet name="アミジェス" sheetId="2" r:id="rId18"/>
    <sheet name="クリア" sheetId="14" r:id="rId19"/>
    <sheet name="幸人" sheetId="15" r:id="rId20"/>
    <sheet name="DET香港" sheetId="16" r:id="rId21"/>
    <sheet name="カトデン" sheetId="17" r:id="rId22"/>
    <sheet name="yanya&amp;yanya" sheetId="18" r:id="rId23"/>
    <sheet name="smbrand" sheetId="19" r:id="rId24"/>
    <sheet name="intervia" sheetId="20" r:id="rId25"/>
    <sheet name="リナドリーム" sheetId="21" r:id="rId26"/>
    <sheet name="ハートフルエミ" sheetId="22" r:id="rId27"/>
  </sheets>
  <functionGroups builtInGroupCount="19"/>
  <definedNames>
    <definedName name="_xlnm._FilterDatabase" localSheetId="20" hidden="1">DET香港!$C$3:$F$38</definedName>
    <definedName name="_xlnm._FilterDatabase" localSheetId="24" hidden="1">intervia!$C$3:$F$38</definedName>
    <definedName name="_xlnm._FilterDatabase" localSheetId="23" hidden="1">smbrand!$C$3:$F$42</definedName>
    <definedName name="_xlnm._FilterDatabase" localSheetId="22" hidden="1">'yanya&amp;yanya'!$C$3:$F$42</definedName>
    <definedName name="_xlnm._FilterDatabase" localSheetId="17" hidden="1">アミジェス!$C$3:$F$29</definedName>
    <definedName name="_xlnm._FilterDatabase" localSheetId="21" hidden="1">カトデン!$C$3:$F$38</definedName>
    <definedName name="_xlnm._FilterDatabase" localSheetId="18" hidden="1">クリア!$C$3:$F$21</definedName>
    <definedName name="_xlnm._FilterDatabase" localSheetId="3" hidden="1">サンシティ!$AG$2:$AJ$6</definedName>
    <definedName name="_xlnm._FilterDatabase" localSheetId="26" hidden="1">ハートフルエミ!$C$3:$F$33</definedName>
    <definedName name="_xlnm._FilterDatabase" localSheetId="25" hidden="1">リナドリーム!$C$3:$F$34</definedName>
    <definedName name="_xlnm._FilterDatabase" localSheetId="19" hidden="1">幸人!$C$4:$F$42</definedName>
    <definedName name="_xlnm._FilterDatabase" localSheetId="4" hidden="1">中央コンタクト!$C$3:$E$15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31" l="1"/>
  <c r="B1" i="31"/>
  <c r="E2" i="2" l="1"/>
  <c r="G2" i="2" l="1"/>
  <c r="G2" i="14"/>
  <c r="B2" i="25" l="1"/>
  <c r="D1" i="1" l="1"/>
  <c r="B1" i="8"/>
  <c r="E2" i="22"/>
  <c r="C2" i="22"/>
  <c r="E2" i="21"/>
  <c r="C2" i="21"/>
  <c r="E2" i="20"/>
  <c r="C2" i="20"/>
  <c r="E2" i="19"/>
  <c r="C2" i="19"/>
  <c r="E2" i="18"/>
  <c r="C2" i="18"/>
  <c r="E2" i="17"/>
  <c r="C2" i="17"/>
  <c r="E2" i="16"/>
  <c r="C2" i="16"/>
  <c r="E2" i="15"/>
  <c r="C2" i="15"/>
  <c r="E2" i="14"/>
  <c r="C2" i="14"/>
  <c r="C2" i="2"/>
  <c r="C2" i="30"/>
  <c r="C2" i="3"/>
  <c r="C2" i="13"/>
  <c r="B2" i="29"/>
  <c r="B2" i="28"/>
  <c r="B2" i="27"/>
  <c r="B2" i="26"/>
  <c r="B2" i="24"/>
  <c r="D1" i="23"/>
  <c r="B1" i="23"/>
  <c r="D1" i="9"/>
  <c r="B1" i="9"/>
  <c r="D1" i="4"/>
  <c r="B1" i="4"/>
  <c r="E2" i="10"/>
  <c r="C2" i="10"/>
  <c r="B1" i="1"/>
  <c r="D1" i="8"/>
  <c r="D3" i="11" l="1"/>
  <c r="G2" i="15" l="1"/>
  <c r="G2" i="30" l="1"/>
  <c r="G2" i="22" l="1"/>
  <c r="G2" i="21"/>
  <c r="G2" i="20"/>
  <c r="G2" i="19"/>
  <c r="G2" i="18"/>
  <c r="G2" i="17"/>
  <c r="G2" i="10"/>
  <c r="G2" i="16"/>
  <c r="G2" i="3" l="1"/>
  <c r="G2" i="13"/>
</calcChain>
</file>

<file path=xl/sharedStrings.xml><?xml version="1.0" encoding="utf-8"?>
<sst xmlns="http://schemas.openxmlformats.org/spreadsheetml/2006/main" count="2751" uniqueCount="1402">
  <si>
    <t>商品名</t>
    <rPh sb="0" eb="3">
      <t>ショウヒンメイ</t>
    </rPh>
    <phoneticPr fontId="1"/>
  </si>
  <si>
    <t>コピー開始列</t>
    <rPh sb="3" eb="5">
      <t>カイシ</t>
    </rPh>
    <rPh sb="5" eb="6">
      <t>レツ</t>
    </rPh>
    <phoneticPr fontId="1"/>
  </si>
  <si>
    <t>コピー終了列</t>
    <rPh sb="3" eb="5">
      <t>シュウリョウ</t>
    </rPh>
    <rPh sb="5" eb="6">
      <t>レツ</t>
    </rPh>
    <phoneticPr fontId="1"/>
  </si>
  <si>
    <t>クリア１０ｐ</t>
    <phoneticPr fontId="1"/>
  </si>
  <si>
    <t>SC（14.0）</t>
  </si>
  <si>
    <t>SC（14.5）</t>
  </si>
  <si>
    <t>新CB（14.0）</t>
  </si>
  <si>
    <t>新CB（14.5）</t>
  </si>
  <si>
    <t>新CH（14.0）</t>
  </si>
  <si>
    <t>新CH（14.5）</t>
  </si>
  <si>
    <t>PB（旧CB）（14.0）</t>
  </si>
  <si>
    <t>PB（旧CB）（14.5）</t>
  </si>
  <si>
    <t>PH（旧CH）（14.0）</t>
  </si>
  <si>
    <t>PH（旧CH）（14.5）</t>
  </si>
  <si>
    <t>SFB（14.0）</t>
  </si>
  <si>
    <t>SFB（14.5）</t>
  </si>
  <si>
    <t>ナチュラリUVモイスチャー</t>
    <phoneticPr fontId="1"/>
  </si>
  <si>
    <t>EB</t>
  </si>
  <si>
    <t>CB</t>
  </si>
  <si>
    <t>SFB</t>
  </si>
  <si>
    <t>CG</t>
  </si>
  <si>
    <t>CBL</t>
  </si>
  <si>
    <t>ナチュラリ１month</t>
    <phoneticPr fontId="1"/>
  </si>
  <si>
    <t xml:space="preserve">ﾅﾁｭﾗﾘ
1day（10枚）
</t>
  </si>
  <si>
    <t>NB</t>
  </si>
  <si>
    <t>NLB</t>
  </si>
  <si>
    <t>SC</t>
  </si>
  <si>
    <t>CH</t>
  </si>
  <si>
    <t>COR</t>
  </si>
  <si>
    <t>COL</t>
  </si>
  <si>
    <t>CGR</t>
  </si>
  <si>
    <t xml:space="preserve">ﾅﾁｭﾗﾘ
1day（30枚）
</t>
  </si>
  <si>
    <t>在庫出力先列</t>
    <rPh sb="0" eb="2">
      <t>ザイコ</t>
    </rPh>
    <rPh sb="2" eb="4">
      <t>シュツリョク</t>
    </rPh>
    <rPh sb="4" eb="5">
      <t>サキ</t>
    </rPh>
    <rPh sb="5" eb="6">
      <t>レツ</t>
    </rPh>
    <phoneticPr fontId="1"/>
  </si>
  <si>
    <t>ﾅﾁｭﾗﾘ ｸﾘｱ UVﾓｲｽﾁｬｰ</t>
  </si>
  <si>
    <t>ｸﾘｱ 10p</t>
  </si>
  <si>
    <t>ｸﾘｱ 30p</t>
  </si>
  <si>
    <t>ﾅﾁｭﾗﾘﾜﾝﾃﾞｰUVﾓｲｽﾁｬｰ</t>
  </si>
  <si>
    <t xml:space="preserve">ﾅﾁｭﾗﾘ
1month
</t>
  </si>
  <si>
    <t>B6</t>
    <phoneticPr fontId="1"/>
  </si>
  <si>
    <t>D6</t>
    <phoneticPr fontId="1"/>
  </si>
  <si>
    <t>F6</t>
    <phoneticPr fontId="1"/>
  </si>
  <si>
    <t>H6</t>
    <phoneticPr fontId="1"/>
  </si>
  <si>
    <t>J6</t>
    <phoneticPr fontId="1"/>
  </si>
  <si>
    <t>T6</t>
    <phoneticPr fontId="1"/>
  </si>
  <si>
    <t>V6</t>
    <phoneticPr fontId="1"/>
  </si>
  <si>
    <t>X6</t>
    <phoneticPr fontId="1"/>
  </si>
  <si>
    <t>Z6</t>
    <phoneticPr fontId="1"/>
  </si>
  <si>
    <t>AB6</t>
    <phoneticPr fontId="1"/>
  </si>
  <si>
    <t>AD6</t>
    <phoneticPr fontId="1"/>
  </si>
  <si>
    <t>AF6</t>
    <phoneticPr fontId="1"/>
  </si>
  <si>
    <t>AH6</t>
    <phoneticPr fontId="1"/>
  </si>
  <si>
    <t>AJ6</t>
    <phoneticPr fontId="1"/>
  </si>
  <si>
    <t>AL6</t>
    <phoneticPr fontId="1"/>
  </si>
  <si>
    <t>AN6</t>
    <phoneticPr fontId="1"/>
  </si>
  <si>
    <t>AP6</t>
    <phoneticPr fontId="1"/>
  </si>
  <si>
    <t>AR6</t>
    <phoneticPr fontId="1"/>
  </si>
  <si>
    <t>AT6</t>
    <phoneticPr fontId="1"/>
  </si>
  <si>
    <t>AV6</t>
    <phoneticPr fontId="1"/>
  </si>
  <si>
    <t>AX6</t>
    <phoneticPr fontId="1"/>
  </si>
  <si>
    <t>AZ6</t>
    <phoneticPr fontId="1"/>
  </si>
  <si>
    <t>BB6</t>
    <phoneticPr fontId="1"/>
  </si>
  <si>
    <t>BD6</t>
    <phoneticPr fontId="1"/>
  </si>
  <si>
    <t>BF6</t>
    <phoneticPr fontId="1"/>
  </si>
  <si>
    <t>BH6</t>
    <phoneticPr fontId="1"/>
  </si>
  <si>
    <t>BJ6</t>
    <phoneticPr fontId="1"/>
  </si>
  <si>
    <t>BL6</t>
    <phoneticPr fontId="1"/>
  </si>
  <si>
    <t>BN6</t>
    <phoneticPr fontId="1"/>
  </si>
  <si>
    <t>BP6</t>
    <phoneticPr fontId="1"/>
  </si>
  <si>
    <t>BR6</t>
    <phoneticPr fontId="1"/>
  </si>
  <si>
    <t>BT6</t>
    <phoneticPr fontId="1"/>
  </si>
  <si>
    <t>BV6</t>
    <phoneticPr fontId="1"/>
  </si>
  <si>
    <t>中央コンタクト</t>
    <rPh sb="0" eb="2">
      <t>チュウオウ</t>
    </rPh>
    <phoneticPr fontId="1"/>
  </si>
  <si>
    <t>フラワーコンタクト</t>
    <phoneticPr fontId="1"/>
  </si>
  <si>
    <t>メアシス</t>
    <phoneticPr fontId="1"/>
  </si>
  <si>
    <t>東心斎橋店</t>
    <rPh sb="0" eb="1">
      <t>ヒガシ</t>
    </rPh>
    <rPh sb="1" eb="4">
      <t>シンサイバシ</t>
    </rPh>
    <rPh sb="4" eb="5">
      <t>テン</t>
    </rPh>
    <phoneticPr fontId="1"/>
  </si>
  <si>
    <t>アメリカ村２</t>
    <rPh sb="4" eb="5">
      <t>ムラ</t>
    </rPh>
    <phoneticPr fontId="1"/>
  </si>
  <si>
    <t>新京極</t>
    <rPh sb="0" eb="1">
      <t>シン</t>
    </rPh>
    <rPh sb="1" eb="3">
      <t>キョウゴク</t>
    </rPh>
    <phoneticPr fontId="1"/>
  </si>
  <si>
    <t>日本橋</t>
    <rPh sb="0" eb="3">
      <t>ニホンバシ</t>
    </rPh>
    <phoneticPr fontId="1"/>
  </si>
  <si>
    <t>姫路</t>
    <rPh sb="0" eb="2">
      <t>ヒメジ</t>
    </rPh>
    <phoneticPr fontId="1"/>
  </si>
  <si>
    <t>岡山　買取</t>
    <rPh sb="0" eb="2">
      <t>オカヤマ</t>
    </rPh>
    <rPh sb="3" eb="5">
      <t>カイトリ</t>
    </rPh>
    <phoneticPr fontId="1"/>
  </si>
  <si>
    <t>AM42</t>
    <phoneticPr fontId="1"/>
  </si>
  <si>
    <t>AI42</t>
    <phoneticPr fontId="1"/>
  </si>
  <si>
    <t>X42</t>
    <phoneticPr fontId="1"/>
  </si>
  <si>
    <t>Y42</t>
    <phoneticPr fontId="1"/>
  </si>
  <si>
    <t>Z42</t>
    <phoneticPr fontId="1"/>
  </si>
  <si>
    <t>AA42</t>
    <phoneticPr fontId="1"/>
  </si>
  <si>
    <t>AB42</t>
    <phoneticPr fontId="1"/>
  </si>
  <si>
    <t>AE42</t>
    <phoneticPr fontId="1"/>
  </si>
  <si>
    <t>AF42</t>
    <phoneticPr fontId="1"/>
  </si>
  <si>
    <t>AG42</t>
    <phoneticPr fontId="1"/>
  </si>
  <si>
    <t>AH42</t>
    <phoneticPr fontId="1"/>
  </si>
  <si>
    <t>AJ42</t>
    <phoneticPr fontId="1"/>
  </si>
  <si>
    <t>AN42</t>
    <phoneticPr fontId="1"/>
  </si>
  <si>
    <t>AO42</t>
    <phoneticPr fontId="1"/>
  </si>
  <si>
    <t>AP42</t>
    <phoneticPr fontId="1"/>
  </si>
  <si>
    <t>AS42</t>
    <phoneticPr fontId="1"/>
  </si>
  <si>
    <t>AT42</t>
    <phoneticPr fontId="1"/>
  </si>
  <si>
    <t>AU42</t>
    <phoneticPr fontId="1"/>
  </si>
  <si>
    <t>AV42</t>
    <phoneticPr fontId="1"/>
  </si>
  <si>
    <t>AW42</t>
    <phoneticPr fontId="1"/>
  </si>
  <si>
    <t>AX42</t>
    <phoneticPr fontId="1"/>
  </si>
  <si>
    <t>BA42</t>
    <phoneticPr fontId="1"/>
  </si>
  <si>
    <t>AE53</t>
  </si>
  <si>
    <t>AF53</t>
  </si>
  <si>
    <t>AG53</t>
  </si>
  <si>
    <t>AH53</t>
  </si>
  <si>
    <t>AI53</t>
  </si>
  <si>
    <t>AJ53</t>
  </si>
  <si>
    <t>AK53</t>
  </si>
  <si>
    <t>AL53</t>
  </si>
  <si>
    <t>AM53</t>
  </si>
  <si>
    <t>AN53</t>
  </si>
  <si>
    <t>AO53</t>
  </si>
  <si>
    <t>AP53</t>
  </si>
  <si>
    <t>AE55</t>
  </si>
  <si>
    <t>AF55</t>
  </si>
  <si>
    <t>AG55</t>
  </si>
  <si>
    <t>AH55</t>
  </si>
  <si>
    <t>AI55</t>
  </si>
  <si>
    <t>AJ55</t>
  </si>
  <si>
    <t>AK55</t>
  </si>
  <si>
    <t>AL55</t>
  </si>
  <si>
    <t>AM55</t>
  </si>
  <si>
    <t>AN55</t>
  </si>
  <si>
    <t>AO55</t>
  </si>
  <si>
    <t>AP55</t>
  </si>
  <si>
    <t>AE54</t>
  </si>
  <si>
    <t>AF54</t>
  </si>
  <si>
    <t>AG54</t>
  </si>
  <si>
    <t>AH54</t>
  </si>
  <si>
    <t>AI54</t>
  </si>
  <si>
    <t>AJ54</t>
  </si>
  <si>
    <t>AK54</t>
  </si>
  <si>
    <t>AL54</t>
  </si>
  <si>
    <t>AM54</t>
  </si>
  <si>
    <t>AN54</t>
  </si>
  <si>
    <t>AO54</t>
  </si>
  <si>
    <t>AP54</t>
  </si>
  <si>
    <t>PB(14.0)</t>
    <phoneticPr fontId="1"/>
  </si>
  <si>
    <t>PB(14.5)</t>
    <phoneticPr fontId="1"/>
  </si>
  <si>
    <t>PH(14.0)</t>
    <phoneticPr fontId="1"/>
  </si>
  <si>
    <t>PH(14.5)</t>
    <phoneticPr fontId="1"/>
  </si>
  <si>
    <t>EB</t>
    <phoneticPr fontId="1"/>
  </si>
  <si>
    <t>D43</t>
  </si>
  <si>
    <t>T43</t>
  </si>
  <si>
    <t>U43</t>
  </si>
  <si>
    <t>J43</t>
  </si>
  <si>
    <t>K43</t>
  </si>
  <si>
    <t>L43</t>
  </si>
  <si>
    <t>M43</t>
  </si>
  <si>
    <t>R43</t>
  </si>
  <si>
    <t>S43</t>
  </si>
  <si>
    <t>X43</t>
  </si>
  <si>
    <t>Y43</t>
  </si>
  <si>
    <t>Z43</t>
  </si>
  <si>
    <t>AA43</t>
  </si>
  <si>
    <t>AB43</t>
  </si>
  <si>
    <t>AE43</t>
  </si>
  <si>
    <t>AF43</t>
  </si>
  <si>
    <t>AG43</t>
  </si>
  <si>
    <t>AH43</t>
  </si>
  <si>
    <t>AI43</t>
  </si>
  <si>
    <t>AJ43</t>
  </si>
  <si>
    <t>AK43</t>
  </si>
  <si>
    <t>AL43</t>
  </si>
  <si>
    <t>AM43</t>
  </si>
  <si>
    <t>AN43</t>
  </si>
  <si>
    <t>AO43</t>
  </si>
  <si>
    <t>AP43</t>
  </si>
  <si>
    <t>AS43</t>
  </si>
  <si>
    <t>AT43</t>
  </si>
  <si>
    <t>AU43</t>
  </si>
  <si>
    <t>AV43</t>
  </si>
  <si>
    <t>AW43</t>
  </si>
  <si>
    <t>AX43</t>
  </si>
  <si>
    <t>AY43</t>
  </si>
  <si>
    <t>AZ43</t>
  </si>
  <si>
    <t>BA43</t>
  </si>
  <si>
    <t>N43</t>
    <phoneticPr fontId="1"/>
  </si>
  <si>
    <t>O43</t>
    <phoneticPr fontId="1"/>
  </si>
  <si>
    <t>P43</t>
    <phoneticPr fontId="1"/>
  </si>
  <si>
    <t>Q43</t>
    <phoneticPr fontId="1"/>
  </si>
  <si>
    <t xml:space="preserve">ﾅﾁｭﾗﾘ
1day（10枚）
</t>
    <phoneticPr fontId="1"/>
  </si>
  <si>
    <t>ﾅﾁｭﾗﾘ
1day（30枚）</t>
    <phoneticPr fontId="1"/>
  </si>
  <si>
    <t>X47</t>
  </si>
  <si>
    <t>Y47</t>
  </si>
  <si>
    <t>Z47</t>
  </si>
  <si>
    <t>AA47</t>
  </si>
  <si>
    <t>AB47</t>
  </si>
  <si>
    <t>AE47</t>
  </si>
  <si>
    <t>AF47</t>
  </si>
  <si>
    <t>AG47</t>
  </si>
  <si>
    <t>AH47</t>
  </si>
  <si>
    <t>AI47</t>
  </si>
  <si>
    <t>AJ47</t>
  </si>
  <si>
    <t>AM47</t>
  </si>
  <si>
    <t>AN47</t>
  </si>
  <si>
    <t>AO47</t>
  </si>
  <si>
    <t>AP47</t>
  </si>
  <si>
    <t>AV47</t>
  </si>
  <si>
    <t>AW47</t>
  </si>
  <si>
    <t>BA47</t>
  </si>
  <si>
    <t>D48</t>
  </si>
  <si>
    <t>T48</t>
  </si>
  <si>
    <t>U48</t>
  </si>
  <si>
    <t>N48</t>
  </si>
  <si>
    <t>O48</t>
  </si>
  <si>
    <t>P48</t>
  </si>
  <si>
    <t>Q48</t>
  </si>
  <si>
    <t>J48</t>
  </si>
  <si>
    <t>K48</t>
  </si>
  <si>
    <t>L48</t>
  </si>
  <si>
    <t>M48</t>
  </si>
  <si>
    <t>R48</t>
  </si>
  <si>
    <t>S48</t>
  </si>
  <si>
    <t>X48</t>
  </si>
  <si>
    <t>Y48</t>
  </si>
  <si>
    <t>Z48</t>
  </si>
  <si>
    <t>AA48</t>
  </si>
  <si>
    <t>AB48</t>
  </si>
  <si>
    <t>AE48</t>
  </si>
  <si>
    <t>AF48</t>
  </si>
  <si>
    <t>AG48</t>
  </si>
  <si>
    <t>AH48</t>
  </si>
  <si>
    <t>AI48</t>
  </si>
  <si>
    <t>AJ48</t>
  </si>
  <si>
    <t>AK48</t>
  </si>
  <si>
    <t>AL48</t>
  </si>
  <si>
    <t>AM48</t>
  </si>
  <si>
    <t>AN48</t>
  </si>
  <si>
    <t>AO48</t>
  </si>
  <si>
    <t>AP48</t>
  </si>
  <si>
    <t>AS48</t>
  </si>
  <si>
    <t>AT48</t>
  </si>
  <si>
    <t>AU48</t>
  </si>
  <si>
    <t>AV48</t>
  </si>
  <si>
    <t>AW48</t>
  </si>
  <si>
    <t>AX48</t>
  </si>
  <si>
    <t>AY48</t>
  </si>
  <si>
    <t>AZ48</t>
  </si>
  <si>
    <t>BA48</t>
  </si>
  <si>
    <t>D52</t>
  </si>
  <si>
    <t>T52</t>
  </si>
  <si>
    <t>U52</t>
  </si>
  <si>
    <t>J52</t>
  </si>
  <si>
    <t>K52</t>
  </si>
  <si>
    <t>L52</t>
  </si>
  <si>
    <t>M52</t>
  </si>
  <si>
    <t>R52</t>
  </si>
  <si>
    <t>S52</t>
  </si>
  <si>
    <t>X52</t>
  </si>
  <si>
    <t>Y52</t>
  </si>
  <si>
    <t>Z52</t>
  </si>
  <si>
    <t>AA52</t>
  </si>
  <si>
    <t>AB52</t>
  </si>
  <si>
    <t>AE52</t>
  </si>
  <si>
    <t>AF52</t>
  </si>
  <si>
    <t>AG52</t>
  </si>
  <si>
    <t>AH52</t>
  </si>
  <si>
    <t>AI52</t>
  </si>
  <si>
    <t>AJ52</t>
  </si>
  <si>
    <t>AK52</t>
  </si>
  <si>
    <t>AL52</t>
  </si>
  <si>
    <t>AM52</t>
  </si>
  <si>
    <t>AN52</t>
  </si>
  <si>
    <t>AO52</t>
  </si>
  <si>
    <t>AP52</t>
  </si>
  <si>
    <t>AS52</t>
  </si>
  <si>
    <t>AT52</t>
  </si>
  <si>
    <t>AU52</t>
  </si>
  <si>
    <t>AV52</t>
  </si>
  <si>
    <t>AW52</t>
  </si>
  <si>
    <t>AX52</t>
  </si>
  <si>
    <t>AY52</t>
  </si>
  <si>
    <t>AZ52</t>
  </si>
  <si>
    <t>BA52</t>
  </si>
  <si>
    <t>D56</t>
  </si>
  <si>
    <t>T56</t>
  </si>
  <si>
    <t>U56</t>
  </si>
  <si>
    <t>J56</t>
  </si>
  <si>
    <t>K56</t>
  </si>
  <si>
    <t>L56</t>
  </si>
  <si>
    <t>M56</t>
  </si>
  <si>
    <t>R56</t>
  </si>
  <si>
    <t>S56</t>
  </si>
  <si>
    <t>X56</t>
  </si>
  <si>
    <t>Y56</t>
  </si>
  <si>
    <t>Z56</t>
  </si>
  <si>
    <t>AA56</t>
  </si>
  <si>
    <t>AB56</t>
  </si>
  <si>
    <t>AE56</t>
  </si>
  <si>
    <t>AF56</t>
  </si>
  <si>
    <t>AG56</t>
  </si>
  <si>
    <t>AH56</t>
  </si>
  <si>
    <t>AI56</t>
  </si>
  <si>
    <t>AJ56</t>
  </si>
  <si>
    <t>AK56</t>
  </si>
  <si>
    <t>AL56</t>
  </si>
  <si>
    <t>AM56</t>
  </si>
  <si>
    <t>AN56</t>
  </si>
  <si>
    <t>AO56</t>
  </si>
  <si>
    <t>AP56</t>
  </si>
  <si>
    <t>AS56</t>
  </si>
  <si>
    <t>AT56</t>
  </si>
  <si>
    <t>AU56</t>
  </si>
  <si>
    <t>AV56</t>
  </si>
  <si>
    <t>AW56</t>
  </si>
  <si>
    <t>AX56</t>
  </si>
  <si>
    <t>AY56</t>
  </si>
  <si>
    <t>AZ56</t>
  </si>
  <si>
    <t>BA56</t>
  </si>
  <si>
    <t>D58</t>
  </si>
  <si>
    <t>T58</t>
  </si>
  <si>
    <t>U58</t>
  </si>
  <si>
    <t>N58</t>
  </si>
  <si>
    <t>O58</t>
  </si>
  <si>
    <t>P58</t>
  </si>
  <si>
    <t>Q58</t>
  </si>
  <si>
    <t>J58</t>
  </si>
  <si>
    <t>K58</t>
  </si>
  <si>
    <t>L58</t>
  </si>
  <si>
    <t>M58</t>
  </si>
  <si>
    <t>R58</t>
  </si>
  <si>
    <t>S58</t>
  </si>
  <si>
    <t>X58</t>
  </si>
  <si>
    <t>Y58</t>
  </si>
  <si>
    <t>Z58</t>
  </si>
  <si>
    <t>AA58</t>
  </si>
  <si>
    <t>AB58</t>
  </si>
  <si>
    <t>AE58</t>
  </si>
  <si>
    <t>AF58</t>
  </si>
  <si>
    <t>AG58</t>
  </si>
  <si>
    <t>AH58</t>
  </si>
  <si>
    <t>AI58</t>
  </si>
  <si>
    <t>AJ58</t>
  </si>
  <si>
    <t>AK58</t>
  </si>
  <si>
    <t>AL58</t>
  </si>
  <si>
    <t>AM58</t>
  </si>
  <si>
    <t>AN58</t>
  </si>
  <si>
    <t>AO58</t>
  </si>
  <si>
    <t>AP58</t>
  </si>
  <si>
    <t>AS58</t>
  </si>
  <si>
    <t>AT58</t>
  </si>
  <si>
    <t>AU58</t>
  </si>
  <si>
    <t>AV58</t>
  </si>
  <si>
    <t>AW58</t>
  </si>
  <si>
    <t>AX58</t>
  </si>
  <si>
    <t>AY58</t>
  </si>
  <si>
    <t>AZ58</t>
  </si>
  <si>
    <t>BA58</t>
  </si>
  <si>
    <t>D59</t>
  </si>
  <si>
    <t>T59</t>
  </si>
  <si>
    <t>U59</t>
  </si>
  <si>
    <t>N59</t>
  </si>
  <si>
    <t>O59</t>
  </si>
  <si>
    <t>P59</t>
  </si>
  <si>
    <t>Q59</t>
  </si>
  <si>
    <t>J59</t>
  </si>
  <si>
    <t>K59</t>
  </si>
  <si>
    <t>L59</t>
  </si>
  <si>
    <t>M59</t>
  </si>
  <si>
    <t>R59</t>
  </si>
  <si>
    <t>S59</t>
  </si>
  <si>
    <t>X59</t>
  </si>
  <si>
    <t>Y59</t>
  </si>
  <si>
    <t>Z59</t>
  </si>
  <si>
    <t>AA59</t>
  </si>
  <si>
    <t>AB59</t>
  </si>
  <si>
    <t>AE59</t>
  </si>
  <si>
    <t>AF59</t>
  </si>
  <si>
    <t>AG59</t>
  </si>
  <si>
    <t>AH59</t>
  </si>
  <si>
    <t>AI59</t>
  </si>
  <si>
    <t>AJ59</t>
  </si>
  <si>
    <t>AK59</t>
  </si>
  <si>
    <t>AL59</t>
  </si>
  <si>
    <t>AM59</t>
  </si>
  <si>
    <t>AN59</t>
  </si>
  <si>
    <t>AO59</t>
  </si>
  <si>
    <t>AP59</t>
  </si>
  <si>
    <t>AS59</t>
  </si>
  <si>
    <t>AT59</t>
  </si>
  <si>
    <t>AU59</t>
  </si>
  <si>
    <t>AV59</t>
  </si>
  <si>
    <t>AW59</t>
  </si>
  <si>
    <t>AX59</t>
  </si>
  <si>
    <t>AY59</t>
  </si>
  <si>
    <t>AZ59</t>
  </si>
  <si>
    <t>BA59</t>
  </si>
  <si>
    <t>D61</t>
  </si>
  <si>
    <t>T61</t>
  </si>
  <si>
    <t>U61</t>
  </si>
  <si>
    <t>J61</t>
  </si>
  <si>
    <t>K61</t>
  </si>
  <si>
    <t>L61</t>
  </si>
  <si>
    <t>M61</t>
  </si>
  <si>
    <t>R61</t>
  </si>
  <si>
    <t>S61</t>
  </si>
  <si>
    <t>X61</t>
  </si>
  <si>
    <t>Y61</t>
  </si>
  <si>
    <t>Z61</t>
  </si>
  <si>
    <t>AA61</t>
  </si>
  <si>
    <t>AB61</t>
  </si>
  <si>
    <t>AE61</t>
  </si>
  <si>
    <t>AF61</t>
  </si>
  <si>
    <t>AG61</t>
  </si>
  <si>
    <t>AH61</t>
  </si>
  <si>
    <t>AI61</t>
  </si>
  <si>
    <t>AJ61</t>
  </si>
  <si>
    <t>AK61</t>
  </si>
  <si>
    <t>AL61</t>
  </si>
  <si>
    <t>AM61</t>
  </si>
  <si>
    <t>AN61</t>
  </si>
  <si>
    <t>AO61</t>
  </si>
  <si>
    <t>AP61</t>
  </si>
  <si>
    <t>AS61</t>
  </si>
  <si>
    <t>AT61</t>
  </si>
  <si>
    <t>AU61</t>
  </si>
  <si>
    <t>AV61</t>
  </si>
  <si>
    <t>AW61</t>
  </si>
  <si>
    <t>AX61</t>
  </si>
  <si>
    <t>AY61</t>
  </si>
  <si>
    <t>AZ61</t>
  </si>
  <si>
    <t>BA61</t>
  </si>
  <si>
    <t>COR</t>
    <phoneticPr fontId="1"/>
  </si>
  <si>
    <t>COL</t>
    <phoneticPr fontId="1"/>
  </si>
  <si>
    <t>D63</t>
  </si>
  <si>
    <t>T63</t>
  </si>
  <si>
    <t>U63</t>
  </si>
  <si>
    <t>J63</t>
  </si>
  <si>
    <t>K63</t>
  </si>
  <si>
    <t>L63</t>
  </si>
  <si>
    <t>M63</t>
  </si>
  <si>
    <t>R63</t>
  </si>
  <si>
    <t>S63</t>
  </si>
  <si>
    <t>AE63</t>
  </si>
  <si>
    <t>AF63</t>
  </si>
  <si>
    <t>AG63</t>
  </si>
  <si>
    <t>AH63</t>
  </si>
  <si>
    <t>AI63</t>
  </si>
  <si>
    <t>AJ63</t>
  </si>
  <si>
    <t>AK63</t>
  </si>
  <si>
    <t>Al63</t>
  </si>
  <si>
    <t>AM63</t>
  </si>
  <si>
    <t>AN63</t>
  </si>
  <si>
    <t>AO63</t>
  </si>
  <si>
    <t>AP63</t>
  </si>
  <si>
    <t>AS63</t>
  </si>
  <si>
    <t>AT63</t>
  </si>
  <si>
    <t>AU63</t>
  </si>
  <si>
    <t>AV63</t>
  </si>
  <si>
    <t>AW63</t>
  </si>
  <si>
    <t>AX63</t>
  </si>
  <si>
    <t>AY63</t>
  </si>
  <si>
    <t>BA63</t>
  </si>
  <si>
    <t>AZ63</t>
    <phoneticPr fontId="1"/>
  </si>
  <si>
    <t>COR</t>
    <phoneticPr fontId="1"/>
  </si>
  <si>
    <t>COL</t>
    <phoneticPr fontId="1"/>
  </si>
  <si>
    <t>AK42</t>
    <phoneticPr fontId="1"/>
  </si>
  <si>
    <t>AL42</t>
    <phoneticPr fontId="1"/>
  </si>
  <si>
    <t>AY42</t>
    <phoneticPr fontId="1"/>
  </si>
  <si>
    <t>AZ42</t>
    <phoneticPr fontId="1"/>
  </si>
  <si>
    <t>D29</t>
  </si>
  <si>
    <t>G29</t>
  </si>
  <si>
    <t>X29</t>
  </si>
  <si>
    <t>Y29</t>
  </si>
  <si>
    <t>Z29</t>
  </si>
  <si>
    <t>AA29</t>
  </si>
  <si>
    <t>AB29</t>
  </si>
  <si>
    <t>AE29</t>
  </si>
  <si>
    <t>AF29</t>
  </si>
  <si>
    <t>AG29</t>
  </si>
  <si>
    <t>AH29</t>
  </si>
  <si>
    <t>AI29</t>
  </si>
  <si>
    <t>AJ29</t>
  </si>
  <si>
    <t>AK29</t>
  </si>
  <si>
    <t>Al29</t>
  </si>
  <si>
    <t>AM29</t>
  </si>
  <si>
    <t>AN29</t>
  </si>
  <si>
    <t>AO29</t>
  </si>
  <si>
    <t>AP29</t>
  </si>
  <si>
    <t>AS29</t>
  </si>
  <si>
    <t>AT29</t>
  </si>
  <si>
    <t>AU29</t>
  </si>
  <si>
    <t>AV29</t>
  </si>
  <si>
    <t>AW29</t>
  </si>
  <si>
    <t>AX29</t>
  </si>
  <si>
    <t>AY29</t>
  </si>
  <si>
    <t>AZ29</t>
  </si>
  <si>
    <t>BA29</t>
  </si>
  <si>
    <t>J29</t>
    <phoneticPr fontId="1"/>
  </si>
  <si>
    <t>K29</t>
    <phoneticPr fontId="1"/>
  </si>
  <si>
    <t>L29</t>
    <phoneticPr fontId="1"/>
  </si>
  <si>
    <t>M29</t>
    <phoneticPr fontId="1"/>
  </si>
  <si>
    <t>R29</t>
    <phoneticPr fontId="1"/>
  </si>
  <si>
    <t>S29</t>
    <phoneticPr fontId="1"/>
  </si>
  <si>
    <t>T29</t>
    <phoneticPr fontId="1"/>
  </si>
  <si>
    <t>U29</t>
    <phoneticPr fontId="1"/>
  </si>
  <si>
    <t>X70</t>
  </si>
  <si>
    <t>Y70</t>
  </si>
  <si>
    <t>Z70</t>
  </si>
  <si>
    <t>AA70</t>
  </si>
  <si>
    <t>AB70</t>
  </si>
  <si>
    <t>AE70</t>
  </si>
  <si>
    <t>AF70</t>
  </si>
  <si>
    <t>AG70</t>
  </si>
  <si>
    <t>AH70</t>
  </si>
  <si>
    <t>AI70</t>
  </si>
  <si>
    <t>AJ70</t>
  </si>
  <si>
    <t>AM70</t>
  </si>
  <si>
    <t>D71</t>
  </si>
  <si>
    <t>T71</t>
  </si>
  <si>
    <t>U71</t>
  </si>
  <si>
    <t>J71</t>
  </si>
  <si>
    <t>K71</t>
  </si>
  <si>
    <t>L71</t>
  </si>
  <si>
    <t>M71</t>
  </si>
  <si>
    <t>R71</t>
  </si>
  <si>
    <t>S71</t>
  </si>
  <si>
    <t>X71</t>
  </si>
  <si>
    <t>Y71</t>
  </si>
  <si>
    <t>Z71</t>
  </si>
  <si>
    <t>AA71</t>
  </si>
  <si>
    <t>AB71</t>
  </si>
  <si>
    <t>AE71</t>
  </si>
  <si>
    <t>AF71</t>
  </si>
  <si>
    <t>AG71</t>
  </si>
  <si>
    <t>AH71</t>
  </si>
  <si>
    <t>AI71</t>
  </si>
  <si>
    <t>AJ71</t>
  </si>
  <si>
    <t>AK71</t>
  </si>
  <si>
    <t>AL71</t>
  </si>
  <si>
    <t>AM71</t>
  </si>
  <si>
    <t>AN71</t>
  </si>
  <si>
    <t>AO71</t>
  </si>
  <si>
    <t>AP71</t>
  </si>
  <si>
    <t>AS71</t>
  </si>
  <si>
    <t>AT71</t>
  </si>
  <si>
    <t>AU71</t>
  </si>
  <si>
    <t>AV71</t>
  </si>
  <si>
    <t>AW71</t>
  </si>
  <si>
    <t>AX71</t>
  </si>
  <si>
    <t>AY71</t>
  </si>
  <si>
    <t>AZ71</t>
  </si>
  <si>
    <t>BA71</t>
  </si>
  <si>
    <t>D72</t>
  </si>
  <si>
    <t>T72</t>
  </si>
  <si>
    <t>U72</t>
  </si>
  <si>
    <t>J72</t>
  </si>
  <si>
    <t>K72</t>
  </si>
  <si>
    <t>L72</t>
  </si>
  <si>
    <t>M72</t>
  </si>
  <si>
    <t>R72</t>
  </si>
  <si>
    <t>S72</t>
  </si>
  <si>
    <t>X72</t>
  </si>
  <si>
    <t>Y72</t>
  </si>
  <si>
    <t>Z72</t>
  </si>
  <si>
    <t>AA72</t>
  </si>
  <si>
    <t>AB72</t>
  </si>
  <si>
    <t>AE72</t>
  </si>
  <si>
    <t>AF72</t>
  </si>
  <si>
    <t>AG72</t>
  </si>
  <si>
    <t>AH72</t>
  </si>
  <si>
    <t>AI72</t>
  </si>
  <si>
    <t>AJ72</t>
  </si>
  <si>
    <t>AK72</t>
  </si>
  <si>
    <t>AL72</t>
  </si>
  <si>
    <t>AM72</t>
  </si>
  <si>
    <t>AN72</t>
  </si>
  <si>
    <t>AO72</t>
  </si>
  <si>
    <t>AP72</t>
  </si>
  <si>
    <t>AS72</t>
  </si>
  <si>
    <t>AT72</t>
  </si>
  <si>
    <t>AU72</t>
  </si>
  <si>
    <t>AV72</t>
  </si>
  <si>
    <t>AW72</t>
  </si>
  <si>
    <t>AX72</t>
  </si>
  <si>
    <t>AY72</t>
  </si>
  <si>
    <t>AZ72</t>
  </si>
  <si>
    <t>BA72</t>
  </si>
  <si>
    <t>D73</t>
  </si>
  <si>
    <t>T73</t>
  </si>
  <si>
    <t>U73</t>
  </si>
  <si>
    <t>J73</t>
  </si>
  <si>
    <t>K73</t>
  </si>
  <si>
    <t>L73</t>
  </si>
  <si>
    <t>M73</t>
  </si>
  <si>
    <t>R73</t>
  </si>
  <si>
    <t>S73</t>
  </si>
  <si>
    <t>X73</t>
  </si>
  <si>
    <t>Y73</t>
  </si>
  <si>
    <t>Z73</t>
  </si>
  <si>
    <t>AA73</t>
  </si>
  <si>
    <t>AB73</t>
  </si>
  <si>
    <t>AE73</t>
  </si>
  <si>
    <t>AF73</t>
  </si>
  <si>
    <t>AG73</t>
  </si>
  <si>
    <t>AH73</t>
  </si>
  <si>
    <t>AI73</t>
  </si>
  <si>
    <t>AJ73</t>
  </si>
  <si>
    <t>AK73</t>
  </si>
  <si>
    <t>AL73</t>
  </si>
  <si>
    <t>AM73</t>
  </si>
  <si>
    <t>AN73</t>
  </si>
  <si>
    <t>AO73</t>
  </si>
  <si>
    <t>AP73</t>
  </si>
  <si>
    <t>AS73</t>
  </si>
  <si>
    <t>AT73</t>
  </si>
  <si>
    <t>AU73</t>
  </si>
  <si>
    <t>AV73</t>
  </si>
  <si>
    <t>AW73</t>
  </si>
  <si>
    <t>AX73</t>
  </si>
  <si>
    <t>AY73</t>
  </si>
  <si>
    <t>AZ73</t>
  </si>
  <si>
    <t>BA73</t>
  </si>
  <si>
    <t>D74</t>
  </si>
  <si>
    <t>T74</t>
  </si>
  <si>
    <t>U74</t>
  </si>
  <si>
    <t>J74</t>
  </si>
  <si>
    <t>K74</t>
  </si>
  <si>
    <t>L74</t>
  </si>
  <si>
    <t>M74</t>
  </si>
  <si>
    <t>R74</t>
  </si>
  <si>
    <t>S74</t>
  </si>
  <si>
    <t>X74</t>
  </si>
  <si>
    <t>Y74</t>
  </si>
  <si>
    <t>Z74</t>
  </si>
  <si>
    <t>AA74</t>
  </si>
  <si>
    <t>AB74</t>
  </si>
  <si>
    <t>AE74</t>
  </si>
  <si>
    <t>AF74</t>
  </si>
  <si>
    <t>AG74</t>
  </si>
  <si>
    <t>AH74</t>
  </si>
  <si>
    <t>AI74</t>
  </si>
  <si>
    <t>AJ74</t>
  </si>
  <si>
    <t>AK74</t>
  </si>
  <si>
    <t>AL74</t>
  </si>
  <si>
    <t>AM74</t>
  </si>
  <si>
    <t>AN74</t>
  </si>
  <si>
    <t>AO74</t>
  </si>
  <si>
    <t>AP74</t>
  </si>
  <si>
    <t>AS74</t>
  </si>
  <si>
    <t>AT74</t>
  </si>
  <si>
    <t>AU74</t>
  </si>
  <si>
    <t>AV74</t>
  </si>
  <si>
    <t>AW74</t>
  </si>
  <si>
    <t>AX74</t>
  </si>
  <si>
    <t>AY74</t>
  </si>
  <si>
    <t>AZ74</t>
  </si>
  <si>
    <t>BA74</t>
  </si>
  <si>
    <t>D76</t>
  </si>
  <si>
    <t>T76</t>
  </si>
  <si>
    <t>U76</t>
  </si>
  <si>
    <t>J76</t>
  </si>
  <si>
    <t>K76</t>
  </si>
  <si>
    <t>L76</t>
  </si>
  <si>
    <t>M76</t>
  </si>
  <si>
    <t>R76</t>
  </si>
  <si>
    <t>S76</t>
  </si>
  <si>
    <t>X76</t>
  </si>
  <si>
    <t>Y76</t>
  </si>
  <si>
    <t>Z76</t>
  </si>
  <si>
    <t>AA76</t>
  </si>
  <si>
    <t>AB76</t>
  </si>
  <si>
    <t>AE76</t>
  </si>
  <si>
    <t>AF76</t>
  </si>
  <si>
    <t>AG76</t>
  </si>
  <si>
    <t>AH76</t>
  </si>
  <si>
    <t>AI76</t>
  </si>
  <si>
    <t>AJ76</t>
  </si>
  <si>
    <t>AK76</t>
  </si>
  <si>
    <t>AL76</t>
  </si>
  <si>
    <t>AM76</t>
  </si>
  <si>
    <t>AN76</t>
  </si>
  <si>
    <t>AO76</t>
  </si>
  <si>
    <t>AP76</t>
  </si>
  <si>
    <t>AS76</t>
  </si>
  <si>
    <t>AT76</t>
  </si>
  <si>
    <t>AU76</t>
  </si>
  <si>
    <t>AV76</t>
  </si>
  <si>
    <t>AW76</t>
  </si>
  <si>
    <t>AX76</t>
  </si>
  <si>
    <t>AY76</t>
  </si>
  <si>
    <t>AZ76</t>
  </si>
  <si>
    <t>BA76</t>
  </si>
  <si>
    <t>U75</t>
  </si>
  <si>
    <t>K75</t>
  </si>
  <si>
    <t>M75</t>
  </si>
  <si>
    <t>S75</t>
  </si>
  <si>
    <t>X84</t>
  </si>
  <si>
    <t>Y84</t>
  </si>
  <si>
    <t>Z84</t>
  </si>
  <si>
    <t>AA84</t>
  </si>
  <si>
    <t>AB84</t>
  </si>
  <si>
    <t>AE84</t>
  </si>
  <si>
    <t>AF84</t>
  </si>
  <si>
    <t>AG84</t>
  </si>
  <si>
    <t>AH84</t>
  </si>
  <si>
    <t>AI84</t>
  </si>
  <si>
    <t>AJ84</t>
  </si>
  <si>
    <t>AK84</t>
  </si>
  <si>
    <t>AL84</t>
  </si>
  <si>
    <t>AM84</t>
  </si>
  <si>
    <t>AN84</t>
  </si>
  <si>
    <t>AO84</t>
  </si>
  <si>
    <t>AP84</t>
  </si>
  <si>
    <t>AV84</t>
  </si>
  <si>
    <t>AW84</t>
  </si>
  <si>
    <t>BA84</t>
  </si>
  <si>
    <t>ファイル名</t>
    <rPh sb="4" eb="5">
      <t>メイ</t>
    </rPh>
    <phoneticPr fontId="1"/>
  </si>
  <si>
    <t>C4</t>
    <phoneticPr fontId="1"/>
  </si>
  <si>
    <t>C6</t>
    <phoneticPr fontId="1"/>
  </si>
  <si>
    <t>C9</t>
    <phoneticPr fontId="1"/>
  </si>
  <si>
    <t>C13</t>
    <phoneticPr fontId="1"/>
  </si>
  <si>
    <t>C14</t>
    <phoneticPr fontId="1"/>
  </si>
  <si>
    <t>C15</t>
    <phoneticPr fontId="1"/>
  </si>
  <si>
    <t>C18</t>
    <phoneticPr fontId="1"/>
  </si>
  <si>
    <t>C21</t>
    <phoneticPr fontId="1"/>
  </si>
  <si>
    <t>C24</t>
    <phoneticPr fontId="1"/>
  </si>
  <si>
    <t>C27</t>
    <phoneticPr fontId="1"/>
  </si>
  <si>
    <t>C31</t>
    <phoneticPr fontId="1"/>
  </si>
  <si>
    <t>C33</t>
    <phoneticPr fontId="1"/>
  </si>
  <si>
    <t>AE85</t>
  </si>
  <si>
    <t>AF85</t>
  </si>
  <si>
    <t>AG85</t>
  </si>
  <si>
    <t>AH85</t>
  </si>
  <si>
    <t>AI85</t>
  </si>
  <si>
    <t>AJ85</t>
  </si>
  <si>
    <t>AK85</t>
  </si>
  <si>
    <t>AL85</t>
  </si>
  <si>
    <t>AM85</t>
  </si>
  <si>
    <t>AN85</t>
  </si>
  <si>
    <t>AO85</t>
  </si>
  <si>
    <t>AP85</t>
  </si>
  <si>
    <t>クリア30ｐ</t>
    <phoneticPr fontId="1"/>
  </si>
  <si>
    <t>㈱ナチュラリ様　10月2日-5日売上明細</t>
  </si>
  <si>
    <t>E4</t>
    <phoneticPr fontId="1"/>
  </si>
  <si>
    <t>E7</t>
    <phoneticPr fontId="1"/>
  </si>
  <si>
    <t>E10</t>
    <phoneticPr fontId="1"/>
  </si>
  <si>
    <t>E11</t>
    <phoneticPr fontId="1"/>
  </si>
  <si>
    <t>E12</t>
    <phoneticPr fontId="1"/>
  </si>
  <si>
    <t>E13</t>
    <phoneticPr fontId="1"/>
  </si>
  <si>
    <t>E14</t>
    <phoneticPr fontId="1"/>
  </si>
  <si>
    <t>E15</t>
    <phoneticPr fontId="1"/>
  </si>
  <si>
    <t>E16</t>
    <phoneticPr fontId="1"/>
  </si>
  <si>
    <t>E17</t>
    <phoneticPr fontId="1"/>
  </si>
  <si>
    <t>E21</t>
    <phoneticPr fontId="1"/>
  </si>
  <si>
    <t>E22</t>
    <phoneticPr fontId="1"/>
  </si>
  <si>
    <t>E23</t>
    <phoneticPr fontId="1"/>
  </si>
  <si>
    <t>E24</t>
    <phoneticPr fontId="1"/>
  </si>
  <si>
    <t>E25</t>
    <phoneticPr fontId="1"/>
  </si>
  <si>
    <t>E28</t>
    <phoneticPr fontId="1"/>
  </si>
  <si>
    <t>E29</t>
    <phoneticPr fontId="1"/>
  </si>
  <si>
    <t>E30</t>
    <phoneticPr fontId="1"/>
  </si>
  <si>
    <t>E31</t>
    <phoneticPr fontId="1"/>
  </si>
  <si>
    <t>E32</t>
    <phoneticPr fontId="1"/>
  </si>
  <si>
    <t>E33</t>
    <phoneticPr fontId="1"/>
  </si>
  <si>
    <t>E34</t>
    <phoneticPr fontId="1"/>
  </si>
  <si>
    <t>E35</t>
    <phoneticPr fontId="1"/>
  </si>
  <si>
    <t>E36</t>
    <phoneticPr fontId="1"/>
  </si>
  <si>
    <t>E38</t>
    <phoneticPr fontId="1"/>
  </si>
  <si>
    <t>E39</t>
    <phoneticPr fontId="1"/>
  </si>
  <si>
    <t>E40</t>
    <phoneticPr fontId="1"/>
  </si>
  <si>
    <t>E48</t>
    <phoneticPr fontId="1"/>
  </si>
  <si>
    <t>E51</t>
    <phoneticPr fontId="1"/>
  </si>
  <si>
    <t>E46</t>
    <phoneticPr fontId="1"/>
  </si>
  <si>
    <t>E45</t>
    <phoneticPr fontId="1"/>
  </si>
  <si>
    <t>E44</t>
    <phoneticPr fontId="1"/>
  </si>
  <si>
    <t>E47</t>
    <phoneticPr fontId="1"/>
  </si>
  <si>
    <t>E49</t>
    <phoneticPr fontId="1"/>
  </si>
  <si>
    <t>E50</t>
    <phoneticPr fontId="1"/>
  </si>
  <si>
    <t>E43</t>
    <phoneticPr fontId="1"/>
  </si>
  <si>
    <t>中央コンタクト・メアシス集計</t>
  </si>
  <si>
    <t>集計月</t>
    <rPh sb="0" eb="2">
      <t>シュウケイ</t>
    </rPh>
    <rPh sb="2" eb="3">
      <t>ヅキ</t>
    </rPh>
    <phoneticPr fontId="1"/>
  </si>
  <si>
    <t>集計対象ファイル名</t>
    <rPh sb="0" eb="2">
      <t>シュウケイ</t>
    </rPh>
    <rPh sb="2" eb="4">
      <t>タイショウ</t>
    </rPh>
    <rPh sb="8" eb="9">
      <t>メイ</t>
    </rPh>
    <phoneticPr fontId="1"/>
  </si>
  <si>
    <t>↓対象月の入力</t>
    <rPh sb="1" eb="3">
      <t>タイショウ</t>
    </rPh>
    <rPh sb="3" eb="4">
      <t>ツキ</t>
    </rPh>
    <rPh sb="5" eb="7">
      <t>ニュウリョク</t>
    </rPh>
    <phoneticPr fontId="1"/>
  </si>
  <si>
    <t>↓ファイル名を入力</t>
    <rPh sb="5" eb="6">
      <t>メイ</t>
    </rPh>
    <rPh sb="7" eb="9">
      <t>ニュウリョク</t>
    </rPh>
    <phoneticPr fontId="1"/>
  </si>
  <si>
    <t>対象シート名</t>
    <rPh sb="0" eb="2">
      <t>タイショウ</t>
    </rPh>
    <rPh sb="5" eb="6">
      <t>メイ</t>
    </rPh>
    <phoneticPr fontId="1"/>
  </si>
  <si>
    <t>↓シート名を入力</t>
    <rPh sb="4" eb="5">
      <t>メイ</t>
    </rPh>
    <rPh sb="6" eb="8">
      <t>ニュウリョク</t>
    </rPh>
    <phoneticPr fontId="1"/>
  </si>
  <si>
    <t>クリア明細書</t>
  </si>
  <si>
    <t>201604～</t>
  </si>
  <si>
    <t>幸人明細書</t>
  </si>
  <si>
    <t>DET香港明細書</t>
  </si>
  <si>
    <t>中央コンタクト</t>
  </si>
  <si>
    <t>カトデン明細書</t>
  </si>
  <si>
    <t>yanya_yanya明細書</t>
  </si>
  <si>
    <t>SMbrand_HOTEL LOVERS明細書</t>
  </si>
  <si>
    <t>ＧＦ(ジーエフ)201703~</t>
  </si>
  <si>
    <t>Intervia明細書</t>
  </si>
  <si>
    <t>201701~</t>
  </si>
  <si>
    <t>リナドリーム明細書</t>
  </si>
  <si>
    <t>201704～</t>
  </si>
  <si>
    <t xml:space="preserve">ハートフルエミ明細書 </t>
  </si>
  <si>
    <t>SBY明細書</t>
  </si>
  <si>
    <t>ライズアップ明細書</t>
  </si>
  <si>
    <t>ロキ明細書</t>
  </si>
  <si>
    <t>入力年月</t>
    <rPh sb="0" eb="2">
      <t>ニュウリョク</t>
    </rPh>
    <rPh sb="2" eb="4">
      <t>ネンゲツ</t>
    </rPh>
    <phoneticPr fontId="1"/>
  </si>
  <si>
    <t>C21</t>
    <phoneticPr fontId="1"/>
  </si>
  <si>
    <t>C143</t>
    <phoneticPr fontId="1"/>
  </si>
  <si>
    <t>C157</t>
    <phoneticPr fontId="1"/>
  </si>
  <si>
    <t>C231</t>
    <phoneticPr fontId="1"/>
  </si>
  <si>
    <t>C232</t>
    <phoneticPr fontId="1"/>
  </si>
  <si>
    <t>C233</t>
    <phoneticPr fontId="1"/>
  </si>
  <si>
    <t>C283</t>
    <phoneticPr fontId="1"/>
  </si>
  <si>
    <t>C295</t>
    <phoneticPr fontId="1"/>
  </si>
  <si>
    <t>C362</t>
    <phoneticPr fontId="1"/>
  </si>
  <si>
    <t>C386</t>
    <phoneticPr fontId="1"/>
  </si>
  <si>
    <t>C421</t>
    <phoneticPr fontId="1"/>
  </si>
  <si>
    <t>C511</t>
    <phoneticPr fontId="1"/>
  </si>
  <si>
    <t>C2</t>
    <phoneticPr fontId="1"/>
  </si>
  <si>
    <t>C10</t>
    <phoneticPr fontId="1"/>
  </si>
  <si>
    <t>C11</t>
    <phoneticPr fontId="1"/>
  </si>
  <si>
    <t>C13</t>
    <phoneticPr fontId="1"/>
  </si>
  <si>
    <t>C14</t>
    <phoneticPr fontId="1"/>
  </si>
  <si>
    <t>C15</t>
    <phoneticPr fontId="1"/>
  </si>
  <si>
    <t>C20</t>
    <phoneticPr fontId="1"/>
  </si>
  <si>
    <t>C26</t>
    <phoneticPr fontId="1"/>
  </si>
  <si>
    <t>C28</t>
    <phoneticPr fontId="1"/>
  </si>
  <si>
    <t>C31</t>
    <phoneticPr fontId="1"/>
  </si>
  <si>
    <t>C33</t>
    <phoneticPr fontId="1"/>
  </si>
  <si>
    <t>C158</t>
    <phoneticPr fontId="1"/>
  </si>
  <si>
    <t>C167</t>
    <phoneticPr fontId="1"/>
  </si>
  <si>
    <t>C223</t>
    <phoneticPr fontId="1"/>
  </si>
  <si>
    <t>C224</t>
    <phoneticPr fontId="1"/>
  </si>
  <si>
    <t>C225</t>
    <phoneticPr fontId="1"/>
  </si>
  <si>
    <t>C265</t>
    <phoneticPr fontId="1"/>
  </si>
  <si>
    <t>C271</t>
    <phoneticPr fontId="1"/>
  </si>
  <si>
    <t>C329</t>
    <phoneticPr fontId="1"/>
  </si>
  <si>
    <t>C354</t>
    <phoneticPr fontId="1"/>
  </si>
  <si>
    <t>C415</t>
    <phoneticPr fontId="1"/>
  </si>
  <si>
    <t>C523</t>
    <phoneticPr fontId="1"/>
  </si>
  <si>
    <t>D62</t>
  </si>
  <si>
    <t>J62</t>
  </si>
  <si>
    <t>K62</t>
  </si>
  <si>
    <t>L62</t>
  </si>
  <si>
    <t>M62</t>
  </si>
  <si>
    <t>R62</t>
  </si>
  <si>
    <t>S62</t>
  </si>
  <si>
    <t>T62</t>
  </si>
  <si>
    <t>U62</t>
  </si>
  <si>
    <t>AE62</t>
  </si>
  <si>
    <t>AF62</t>
  </si>
  <si>
    <t>AG62</t>
  </si>
  <si>
    <t>AH62</t>
  </si>
  <si>
    <t>AI62</t>
  </si>
  <si>
    <t>AJ62</t>
  </si>
  <si>
    <t>AM62</t>
  </si>
  <si>
    <t>AN62</t>
  </si>
  <si>
    <t>AO62</t>
  </si>
  <si>
    <t>AP62</t>
  </si>
  <si>
    <t>AS62</t>
  </si>
  <si>
    <t>AT62</t>
  </si>
  <si>
    <t>AU62</t>
  </si>
  <si>
    <t>AV62</t>
  </si>
  <si>
    <t>AW62</t>
  </si>
  <si>
    <t>AX62</t>
  </si>
  <si>
    <t>BA62</t>
  </si>
  <si>
    <t>X62</t>
  </si>
  <si>
    <t>Y62</t>
  </si>
  <si>
    <t>Z62</t>
  </si>
  <si>
    <t>AA62</t>
  </si>
  <si>
    <t>AB62</t>
  </si>
  <si>
    <t>D60</t>
  </si>
  <si>
    <t>J60</t>
  </si>
  <si>
    <t>K60</t>
  </si>
  <si>
    <t>L60</t>
  </si>
  <si>
    <t>M60</t>
  </si>
  <si>
    <t>R60</t>
  </si>
  <si>
    <t>S60</t>
  </si>
  <si>
    <t>T60</t>
  </si>
  <si>
    <t>U60</t>
  </si>
  <si>
    <t>AE60</t>
  </si>
  <si>
    <t>AF60</t>
  </si>
  <si>
    <t>AG60</t>
  </si>
  <si>
    <t>AH60</t>
  </si>
  <si>
    <t>AI60</t>
  </si>
  <si>
    <t>AJ60</t>
  </si>
  <si>
    <t>AK60</t>
  </si>
  <si>
    <t>AL60</t>
  </si>
  <si>
    <t>AM60</t>
  </si>
  <si>
    <t>AN60</t>
  </si>
  <si>
    <t>AO60</t>
  </si>
  <si>
    <t>AP60</t>
  </si>
  <si>
    <t>AS60</t>
  </si>
  <si>
    <t>AT60</t>
  </si>
  <si>
    <t>AU60</t>
  </si>
  <si>
    <t>AV60</t>
  </si>
  <si>
    <t>AW60</t>
  </si>
  <si>
    <t>AX60</t>
  </si>
  <si>
    <t>AY60</t>
  </si>
  <si>
    <t>AZ60</t>
  </si>
  <si>
    <t>BA60</t>
  </si>
  <si>
    <t>X60</t>
  </si>
  <si>
    <t>Y60</t>
  </si>
  <si>
    <t>Z60</t>
  </si>
  <si>
    <t>AA60</t>
  </si>
  <si>
    <t>AB60</t>
  </si>
  <si>
    <t>岡山　新委託</t>
    <rPh sb="0" eb="2">
      <t>オカヤマ</t>
    </rPh>
    <rPh sb="3" eb="4">
      <t>シン</t>
    </rPh>
    <rPh sb="4" eb="6">
      <t>イタク</t>
    </rPh>
    <phoneticPr fontId="1"/>
  </si>
  <si>
    <t>シート名</t>
    <rPh sb="3" eb="4">
      <t>メイ</t>
    </rPh>
    <phoneticPr fontId="1"/>
  </si>
  <si>
    <t>トライアル</t>
  </si>
  <si>
    <t>参照ブック名</t>
    <rPh sb="0" eb="2">
      <t>サンショウ</t>
    </rPh>
    <rPh sb="5" eb="6">
      <t>メイ</t>
    </rPh>
    <phoneticPr fontId="1"/>
  </si>
  <si>
    <t>参照シート名</t>
    <rPh sb="0" eb="2">
      <t>サンショウ</t>
    </rPh>
    <rPh sb="5" eb="6">
      <t>メイ</t>
    </rPh>
    <phoneticPr fontId="1"/>
  </si>
  <si>
    <t>サンプル_2017年9月</t>
  </si>
  <si>
    <t>サンプル</t>
  </si>
  <si>
    <t>サンプル中央コンタクト</t>
    <rPh sb="4" eb="6">
      <t>チュウオウ</t>
    </rPh>
    <phoneticPr fontId="1"/>
  </si>
  <si>
    <t>シンシア仕入れ</t>
    <rPh sb="4" eb="6">
      <t>シイ</t>
    </rPh>
    <phoneticPr fontId="1"/>
  </si>
  <si>
    <t>取引先名</t>
    <rPh sb="0" eb="2">
      <t>トリヒキ</t>
    </rPh>
    <rPh sb="2" eb="3">
      <t>サキ</t>
    </rPh>
    <rPh sb="3" eb="4">
      <t>メイ</t>
    </rPh>
    <phoneticPr fontId="1"/>
  </si>
  <si>
    <t>中央コンタクト</t>
    <rPh sb="0" eb="2">
      <t>チュウオウ</t>
    </rPh>
    <phoneticPr fontId="1"/>
  </si>
  <si>
    <t>カラコンワークス</t>
    <phoneticPr fontId="1"/>
  </si>
  <si>
    <t>サンシティ</t>
    <phoneticPr fontId="1"/>
  </si>
  <si>
    <t>Nat在庫</t>
    <rPh sb="3" eb="5">
      <t>ザイコ</t>
    </rPh>
    <phoneticPr fontId="1"/>
  </si>
  <si>
    <t>SBY</t>
    <phoneticPr fontId="1"/>
  </si>
  <si>
    <t>ライズアップ</t>
    <phoneticPr fontId="1"/>
  </si>
  <si>
    <t>ロキ</t>
    <phoneticPr fontId="1"/>
  </si>
  <si>
    <t>アミジェス</t>
    <phoneticPr fontId="1"/>
  </si>
  <si>
    <t>クリア</t>
    <phoneticPr fontId="1"/>
  </si>
  <si>
    <t>幸人</t>
    <rPh sb="0" eb="2">
      <t>ユキト</t>
    </rPh>
    <phoneticPr fontId="1"/>
  </si>
  <si>
    <t>DET香港</t>
    <rPh sb="3" eb="5">
      <t>ホンコン</t>
    </rPh>
    <phoneticPr fontId="1"/>
  </si>
  <si>
    <t>カトデン</t>
    <phoneticPr fontId="1"/>
  </si>
  <si>
    <t>yanya&amp;yanya</t>
  </si>
  <si>
    <t>smbrand</t>
  </si>
  <si>
    <t>intervia</t>
  </si>
  <si>
    <t>リナドリーム</t>
  </si>
  <si>
    <t>ハートフルエミ</t>
  </si>
  <si>
    <t>アミジェス明細書</t>
    <phoneticPr fontId="1"/>
  </si>
  <si>
    <t>東心斎橋</t>
    <phoneticPr fontId="1"/>
  </si>
  <si>
    <t>★サンシティ預け在庫201707</t>
    <phoneticPr fontId="1"/>
  </si>
  <si>
    <t>★カラコンワークス預け在庫_20141207</t>
  </si>
  <si>
    <t>ナチュラリ在庫1day_DIA140_10枚</t>
  </si>
  <si>
    <t>ナチュラリ在庫1day_DIA142_10枚</t>
    <phoneticPr fontId="1"/>
  </si>
  <si>
    <t>ナチュラリ在庫1day_DIA142_30枚</t>
    <phoneticPr fontId="1"/>
  </si>
  <si>
    <t>ナチュラリ在庫1day_DIA145_10枚</t>
  </si>
  <si>
    <t>ナチュラリ在庫1day_クリア</t>
    <phoneticPr fontId="1"/>
  </si>
  <si>
    <t>ナチュラリ在庫1month</t>
  </si>
  <si>
    <t>シート名</t>
    <rPh sb="3" eb="4">
      <t>メイ</t>
    </rPh>
    <phoneticPr fontId="1"/>
  </si>
  <si>
    <t>K84</t>
    <phoneticPr fontId="1"/>
  </si>
  <si>
    <t>L84</t>
    <phoneticPr fontId="1"/>
  </si>
  <si>
    <t>T84</t>
    <phoneticPr fontId="1"/>
  </si>
  <si>
    <t>U84</t>
    <phoneticPr fontId="1"/>
  </si>
  <si>
    <t>J84</t>
    <phoneticPr fontId="1"/>
  </si>
  <si>
    <t>M84</t>
    <phoneticPr fontId="1"/>
  </si>
  <si>
    <t>D84</t>
    <phoneticPr fontId="1"/>
  </si>
  <si>
    <t>N84</t>
    <phoneticPr fontId="1"/>
  </si>
  <si>
    <t>O84</t>
    <phoneticPr fontId="1"/>
  </si>
  <si>
    <t>P84</t>
    <phoneticPr fontId="1"/>
  </si>
  <si>
    <t>Q84</t>
    <phoneticPr fontId="1"/>
  </si>
  <si>
    <t>R84</t>
    <phoneticPr fontId="1"/>
  </si>
  <si>
    <t>S84</t>
    <phoneticPr fontId="1"/>
  </si>
  <si>
    <t>N126</t>
  </si>
  <si>
    <t>P126</t>
  </si>
  <si>
    <t>J126</t>
  </si>
  <si>
    <t>L126</t>
  </si>
  <si>
    <t>R126</t>
  </si>
  <si>
    <t>T126</t>
  </si>
  <si>
    <t>AE126</t>
  </si>
  <si>
    <t>AF126</t>
  </si>
  <si>
    <t>AG126</t>
  </si>
  <si>
    <t>AH126</t>
  </si>
  <si>
    <t>AI126</t>
  </si>
  <si>
    <t>AJ126</t>
  </si>
  <si>
    <t>AK126</t>
  </si>
  <si>
    <t>AL126</t>
  </si>
  <si>
    <t>AM126</t>
  </si>
  <si>
    <t>AN126</t>
  </si>
  <si>
    <t>AO126</t>
  </si>
  <si>
    <t>AP126</t>
  </si>
  <si>
    <t>AS126</t>
  </si>
  <si>
    <t>AT126</t>
  </si>
  <si>
    <t>AU126</t>
  </si>
  <si>
    <t>AV126</t>
  </si>
  <si>
    <t>AW126</t>
  </si>
  <si>
    <t>AX126</t>
  </si>
  <si>
    <t>AY126</t>
  </si>
  <si>
    <t>AZ126</t>
  </si>
  <si>
    <t>BA126</t>
  </si>
  <si>
    <t>O126</t>
  </si>
  <si>
    <t>Q126</t>
  </si>
  <si>
    <t>K126</t>
  </si>
  <si>
    <t>M126</t>
  </si>
  <si>
    <t>S126</t>
  </si>
  <si>
    <t>U126</t>
  </si>
  <si>
    <t>D126</t>
  </si>
  <si>
    <t>G126</t>
  </si>
  <si>
    <t>X126</t>
  </si>
  <si>
    <t>Y126</t>
  </si>
  <si>
    <t>Z126</t>
  </si>
  <si>
    <t>AA126</t>
  </si>
  <si>
    <t>AB126</t>
  </si>
  <si>
    <t>送付個数</t>
    <rPh sb="0" eb="2">
      <t>ソウフ</t>
    </rPh>
    <rPh sb="2" eb="4">
      <t>コスウ</t>
    </rPh>
    <phoneticPr fontId="1"/>
  </si>
  <si>
    <t>在庫数</t>
    <rPh sb="0" eb="2">
      <t>ザイコ</t>
    </rPh>
    <rPh sb="2" eb="3">
      <t>スウ</t>
    </rPh>
    <phoneticPr fontId="1"/>
  </si>
  <si>
    <t>AE114</t>
  </si>
  <si>
    <t>AF114</t>
  </si>
  <si>
    <t>AG114</t>
  </si>
  <si>
    <t>AH114</t>
  </si>
  <si>
    <t>AI114</t>
  </si>
  <si>
    <t>AJ114</t>
  </si>
  <si>
    <t>AM114</t>
  </si>
  <si>
    <t>X114</t>
  </si>
  <si>
    <t>Y114</t>
  </si>
  <si>
    <t>Z114</t>
  </si>
  <si>
    <t>AA114</t>
  </si>
  <si>
    <t>AB114</t>
  </si>
  <si>
    <t>D115</t>
  </si>
  <si>
    <t>J115</t>
  </si>
  <si>
    <t>K115</t>
  </si>
  <si>
    <t>L115</t>
  </si>
  <si>
    <t>M115</t>
  </si>
  <si>
    <t>R115</t>
  </si>
  <si>
    <t>S115</t>
  </si>
  <si>
    <t>T115</t>
  </si>
  <si>
    <t>U115</t>
  </si>
  <si>
    <t>AE115</t>
  </si>
  <si>
    <t>AF115</t>
  </si>
  <si>
    <t>AG115</t>
  </si>
  <si>
    <t>AH115</t>
  </si>
  <si>
    <t>AI115</t>
  </si>
  <si>
    <t>AJ115</t>
  </si>
  <si>
    <t>AK115</t>
  </si>
  <si>
    <t>AL115</t>
  </si>
  <si>
    <t>AM115</t>
  </si>
  <si>
    <t>AN115</t>
  </si>
  <si>
    <t>AO115</t>
  </si>
  <si>
    <t>AP115</t>
  </si>
  <si>
    <t>AS115</t>
  </si>
  <si>
    <t>AT115</t>
  </si>
  <si>
    <t>AU115</t>
  </si>
  <si>
    <t>AV115</t>
  </si>
  <si>
    <t>AW115</t>
  </si>
  <si>
    <t>AX115</t>
  </si>
  <si>
    <t>AY115</t>
  </si>
  <si>
    <t>AZ115</t>
  </si>
  <si>
    <t>BA115</t>
  </si>
  <si>
    <t>X115</t>
  </si>
  <si>
    <t>Y115</t>
  </si>
  <si>
    <t>Z115</t>
  </si>
  <si>
    <t>AA115</t>
  </si>
  <si>
    <t>AB115</t>
  </si>
  <si>
    <t>D116</t>
  </si>
  <si>
    <t>J116</t>
  </si>
  <si>
    <t>K116</t>
  </si>
  <si>
    <t>L116</t>
  </si>
  <si>
    <t>M116</t>
  </si>
  <si>
    <t>R116</t>
  </si>
  <si>
    <t>S116</t>
  </si>
  <si>
    <t>T116</t>
  </si>
  <si>
    <t>U116</t>
  </si>
  <si>
    <t>AE116</t>
  </si>
  <si>
    <t>AF116</t>
  </si>
  <si>
    <t>AG116</t>
  </si>
  <si>
    <t>AH116</t>
  </si>
  <si>
    <t>AI116</t>
  </si>
  <si>
    <t>AJ116</t>
  </si>
  <si>
    <t>AK116</t>
  </si>
  <si>
    <t>AL116</t>
  </si>
  <si>
    <t>AM116</t>
  </si>
  <si>
    <t>AN116</t>
  </si>
  <si>
    <t>AO116</t>
  </si>
  <si>
    <t>AP116</t>
  </si>
  <si>
    <t>AS116</t>
  </si>
  <si>
    <t>AT116</t>
  </si>
  <si>
    <t>AU116</t>
  </si>
  <si>
    <t>AV116</t>
  </si>
  <si>
    <t>AW116</t>
  </si>
  <si>
    <t>AX116</t>
  </si>
  <si>
    <t>AY116</t>
  </si>
  <si>
    <t>AZ116</t>
  </si>
  <si>
    <t>BA116</t>
  </si>
  <si>
    <t>X116</t>
  </si>
  <si>
    <t>Y116</t>
  </si>
  <si>
    <t>Z116</t>
  </si>
  <si>
    <t>AA116</t>
  </si>
  <si>
    <t>AB116</t>
  </si>
  <si>
    <t>D117</t>
  </si>
  <si>
    <t>J117</t>
  </si>
  <si>
    <t>K117</t>
  </si>
  <si>
    <t>L117</t>
  </si>
  <si>
    <t>M117</t>
  </si>
  <si>
    <t>R117</t>
  </si>
  <si>
    <t>S117</t>
  </si>
  <si>
    <t>T117</t>
  </si>
  <si>
    <t>U117</t>
  </si>
  <si>
    <t>AE117</t>
  </si>
  <si>
    <t>AF117</t>
  </si>
  <si>
    <t>AG117</t>
  </si>
  <si>
    <t>AH117</t>
  </si>
  <si>
    <t>AI117</t>
  </si>
  <si>
    <t>AJ117</t>
  </si>
  <si>
    <t>AK117</t>
  </si>
  <si>
    <t>AL117</t>
  </si>
  <si>
    <t>AM117</t>
  </si>
  <si>
    <t>AN117</t>
  </si>
  <si>
    <t>AO117</t>
  </si>
  <si>
    <t>AP117</t>
  </si>
  <si>
    <t>AS117</t>
  </si>
  <si>
    <t>AT117</t>
  </si>
  <si>
    <t>AU117</t>
  </si>
  <si>
    <t>AV117</t>
  </si>
  <si>
    <t>AW117</t>
  </si>
  <si>
    <t>AX117</t>
  </si>
  <si>
    <t>AY117</t>
  </si>
  <si>
    <t>AZ117</t>
  </si>
  <si>
    <t>BA117</t>
  </si>
  <si>
    <t>X117</t>
  </si>
  <si>
    <t>Y117</t>
  </si>
  <si>
    <t>Z117</t>
  </si>
  <si>
    <t>AA117</t>
  </si>
  <si>
    <t>AB117</t>
  </si>
  <si>
    <t>D118</t>
  </si>
  <si>
    <t>J118</t>
  </si>
  <si>
    <t>K118</t>
  </si>
  <si>
    <t>L118</t>
  </si>
  <si>
    <t>M118</t>
  </si>
  <si>
    <t>R118</t>
  </si>
  <si>
    <t>S118</t>
  </si>
  <si>
    <t>T118</t>
  </si>
  <si>
    <t>U118</t>
  </si>
  <si>
    <t>AE118</t>
  </si>
  <si>
    <t>AF118</t>
  </si>
  <si>
    <t>AG118</t>
  </si>
  <si>
    <t>AH118</t>
  </si>
  <si>
    <t>AI118</t>
  </si>
  <si>
    <t>AJ118</t>
  </si>
  <si>
    <t>AK118</t>
  </si>
  <si>
    <t>AL118</t>
  </si>
  <si>
    <t>AM118</t>
  </si>
  <si>
    <t>AN118</t>
  </si>
  <si>
    <t>AO118</t>
  </si>
  <si>
    <t>AP118</t>
  </si>
  <si>
    <t>AS118</t>
  </si>
  <si>
    <t>AT118</t>
  </si>
  <si>
    <t>AU118</t>
  </si>
  <si>
    <t>AV118</t>
  </si>
  <si>
    <t>AW118</t>
  </si>
  <si>
    <t>AX118</t>
  </si>
  <si>
    <t>AY118</t>
  </si>
  <si>
    <t>AZ118</t>
  </si>
  <si>
    <t>BA118</t>
  </si>
  <si>
    <t>X118</t>
  </si>
  <si>
    <t>Y118</t>
  </si>
  <si>
    <t>Z118</t>
  </si>
  <si>
    <t>AA118</t>
  </si>
  <si>
    <t>AB118</t>
  </si>
  <si>
    <t>D120</t>
  </si>
  <si>
    <t>J120</t>
  </si>
  <si>
    <t>K120</t>
  </si>
  <si>
    <t>L120</t>
  </si>
  <si>
    <t>M120</t>
  </si>
  <si>
    <t>R120</t>
  </si>
  <si>
    <t>S120</t>
  </si>
  <si>
    <t>T120</t>
  </si>
  <si>
    <t>U120</t>
  </si>
  <si>
    <t>AE120</t>
  </si>
  <si>
    <t>AF120</t>
  </si>
  <si>
    <t>AG120</t>
  </si>
  <si>
    <t>AH120</t>
  </si>
  <si>
    <t>AI120</t>
  </si>
  <si>
    <t>AJ120</t>
  </si>
  <si>
    <t>AK120</t>
  </si>
  <si>
    <t>AL120</t>
  </si>
  <si>
    <t>AM120</t>
  </si>
  <si>
    <t>AN120</t>
  </si>
  <si>
    <t>AO120</t>
  </si>
  <si>
    <t>AP120</t>
  </si>
  <si>
    <t>AS120</t>
  </si>
  <si>
    <t>AT120</t>
  </si>
  <si>
    <t>AU120</t>
  </si>
  <si>
    <t>AV120</t>
  </si>
  <si>
    <t>AW120</t>
  </si>
  <si>
    <t>AX120</t>
  </si>
  <si>
    <t>AY120</t>
  </si>
  <si>
    <t>AZ120</t>
  </si>
  <si>
    <t>BA120</t>
  </si>
  <si>
    <t>X120</t>
  </si>
  <si>
    <t>Y120</t>
  </si>
  <si>
    <t>Z120</t>
  </si>
  <si>
    <t>AA120</t>
  </si>
  <si>
    <t>AB120</t>
  </si>
  <si>
    <t>K119</t>
  </si>
  <si>
    <t>M119</t>
  </si>
  <si>
    <t>S119</t>
  </si>
  <si>
    <t>U119</t>
  </si>
  <si>
    <t>ＡＭ201604～</t>
  </si>
  <si>
    <t>DET</t>
    <phoneticPr fontId="1"/>
  </si>
  <si>
    <t>【DET売上データ170901-170930】</t>
  </si>
  <si>
    <t>楽天</t>
    <rPh sb="0" eb="2">
      <t>ラクテン</t>
    </rPh>
    <phoneticPr fontId="1"/>
  </si>
  <si>
    <t>DeNA</t>
    <phoneticPr fontId="1"/>
  </si>
  <si>
    <t>amazon</t>
    <phoneticPr fontId="1"/>
  </si>
  <si>
    <t>yahoo</t>
    <phoneticPr fontId="1"/>
  </si>
  <si>
    <t>I55</t>
    <phoneticPr fontId="1"/>
  </si>
  <si>
    <t>I44</t>
    <phoneticPr fontId="1"/>
  </si>
  <si>
    <t>I17</t>
    <phoneticPr fontId="1"/>
  </si>
  <si>
    <t>I32</t>
    <phoneticPr fontId="1"/>
  </si>
  <si>
    <t>I27</t>
    <phoneticPr fontId="1"/>
  </si>
  <si>
    <t>Makeshop</t>
    <phoneticPr fontId="1"/>
  </si>
  <si>
    <t>D145</t>
    <phoneticPr fontId="1"/>
  </si>
  <si>
    <t>D146</t>
  </si>
  <si>
    <t>D147</t>
  </si>
  <si>
    <t>D148</t>
  </si>
  <si>
    <t>D149</t>
  </si>
  <si>
    <t>color別集計</t>
    <rPh sb="5" eb="6">
      <t>ベツ</t>
    </rPh>
    <rPh sb="6" eb="8">
      <t>シュウケイ</t>
    </rPh>
    <phoneticPr fontId="1"/>
  </si>
  <si>
    <t>K2</t>
  </si>
  <si>
    <t>K13</t>
  </si>
  <si>
    <t>K14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</si>
  <si>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</si>
  <si>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</si>
  <si>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</si>
  <si>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</si>
  <si>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</si>
  <si>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</si>
  <si>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</si>
  <si>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</si>
  <si>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</si>
  <si>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</si>
  <si>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K36</t>
  </si>
  <si>
    <t>K37</t>
  </si>
  <si>
    <t>K38</t>
  </si>
  <si>
    <t>K39</t>
  </si>
  <si>
    <t>K40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</si>
  <si>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</si>
  <si>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</si>
  <si>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</si>
  <si>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</si>
  <si>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</si>
  <si>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</si>
  <si>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</si>
  <si>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</si>
  <si>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</si>
  <si>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</si>
  <si>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</si>
  <si>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</si>
  <si>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</si>
  <si>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</si>
  <si>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</si>
  <si>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</si>
  <si>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</si>
  <si>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</si>
  <si>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</si>
  <si>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</si>
  <si>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</si>
  <si>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color別集計</t>
    <rPh sb="5" eb="6">
      <t>ベツ</t>
    </rPh>
    <rPh sb="6" eb="8">
      <t>シュウケイ</t>
    </rPh>
    <phoneticPr fontId="1"/>
  </si>
  <si>
    <t>D49</t>
  </si>
  <si>
    <t>T49</t>
  </si>
  <si>
    <t>U49</t>
  </si>
  <si>
    <t>N49</t>
  </si>
  <si>
    <t>O49</t>
  </si>
  <si>
    <t>P49</t>
  </si>
  <si>
    <t>Q49</t>
  </si>
  <si>
    <t>J49</t>
  </si>
  <si>
    <t>K49</t>
  </si>
  <si>
    <t>L49</t>
  </si>
  <si>
    <t>M49</t>
  </si>
  <si>
    <t>R49</t>
  </si>
  <si>
    <t>S49</t>
  </si>
  <si>
    <t>X49</t>
  </si>
  <si>
    <t>Y49</t>
  </si>
  <si>
    <t>Z49</t>
  </si>
  <si>
    <t>AA49</t>
  </si>
  <si>
    <t>AB49</t>
  </si>
  <si>
    <t>AE49</t>
  </si>
  <si>
    <t>AF49</t>
  </si>
  <si>
    <t>AG49</t>
  </si>
  <si>
    <t>AH49</t>
  </si>
  <si>
    <t>AI49</t>
  </si>
  <si>
    <t>AJ49</t>
  </si>
  <si>
    <t>AK49</t>
  </si>
  <si>
    <t>AL49</t>
  </si>
  <si>
    <t>AM49</t>
  </si>
  <si>
    <t>AN49</t>
  </si>
  <si>
    <t>AO49</t>
  </si>
  <si>
    <t>AP49</t>
  </si>
  <si>
    <t>AS49</t>
  </si>
  <si>
    <t>AT49</t>
  </si>
  <si>
    <t>AU49</t>
  </si>
  <si>
    <t>AV49</t>
  </si>
  <si>
    <t>AW49</t>
  </si>
  <si>
    <t>AX49</t>
  </si>
  <si>
    <t>AY49</t>
  </si>
  <si>
    <t>AZ49</t>
  </si>
  <si>
    <t>BA49</t>
  </si>
  <si>
    <t>M2</t>
  </si>
  <si>
    <t>M13</t>
  </si>
  <si>
    <t>M14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</si>
  <si>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</si>
  <si>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</si>
  <si>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</si>
  <si>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</si>
  <si>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</si>
  <si>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</si>
  <si>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</si>
  <si>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</si>
  <si>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</si>
  <si>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</si>
  <si>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M36</t>
  </si>
  <si>
    <t>M37</t>
  </si>
  <si>
    <t>M38</t>
  </si>
  <si>
    <t>M39</t>
  </si>
  <si>
    <t>M40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</si>
  <si>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</si>
  <si>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</si>
  <si>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</si>
  <si>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</si>
  <si>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</si>
  <si>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</si>
  <si>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</si>
  <si>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</si>
  <si>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</si>
  <si>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</si>
  <si>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</si>
  <si>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</si>
  <si>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</si>
  <si>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</si>
  <si>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</si>
  <si>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</si>
  <si>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</si>
  <si>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</si>
  <si>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</si>
  <si>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</si>
  <si>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</si>
  <si>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J2</t>
  </si>
  <si>
    <t>J13</t>
  </si>
  <si>
    <t>J14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</si>
  <si>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</si>
  <si>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</si>
  <si>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</si>
  <si>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</si>
  <si>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</si>
  <si>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</si>
  <si>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</si>
  <si>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</si>
  <si>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</si>
  <si>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</si>
  <si>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J36</t>
  </si>
  <si>
    <t>J37</t>
  </si>
  <si>
    <t>J38</t>
  </si>
  <si>
    <t>J39</t>
  </si>
  <si>
    <t>J40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</si>
  <si>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</si>
  <si>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</si>
  <si>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</si>
  <si>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</si>
  <si>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</si>
  <si>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</si>
  <si>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</si>
  <si>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</si>
  <si>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</si>
  <si>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</si>
  <si>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</si>
  <si>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</si>
  <si>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</si>
  <si>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</si>
  <si>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</si>
  <si>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</si>
  <si>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</si>
  <si>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</si>
  <si>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</si>
  <si>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</si>
  <si>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J35</t>
  </si>
  <si>
    <t>color別集計</t>
    <rPh sb="5" eb="6">
      <t>ベツ</t>
    </rPh>
    <rPh sb="6" eb="8">
      <t>シュウケイ</t>
    </rPh>
    <phoneticPr fontId="1"/>
  </si>
  <si>
    <t>D57</t>
  </si>
  <si>
    <t>T57</t>
  </si>
  <si>
    <t>U57</t>
  </si>
  <si>
    <t>N57</t>
  </si>
  <si>
    <t>O57</t>
  </si>
  <si>
    <t>P57</t>
  </si>
  <si>
    <t>Q57</t>
  </si>
  <si>
    <t>J57</t>
  </si>
  <si>
    <t>K57</t>
  </si>
  <si>
    <t>L57</t>
  </si>
  <si>
    <t>M57</t>
  </si>
  <si>
    <t>R57</t>
  </si>
  <si>
    <t>S57</t>
  </si>
  <si>
    <t>X57</t>
  </si>
  <si>
    <t>Y57</t>
  </si>
  <si>
    <t>Z57</t>
  </si>
  <si>
    <t>AA57</t>
  </si>
  <si>
    <t>AB57</t>
  </si>
  <si>
    <t>AE57</t>
  </si>
  <si>
    <t>AF57</t>
  </si>
  <si>
    <t>AG57</t>
  </si>
  <si>
    <t>AH57</t>
  </si>
  <si>
    <t>AI57</t>
  </si>
  <si>
    <t>AJ57</t>
  </si>
  <si>
    <t>AK57</t>
  </si>
  <si>
    <t>AL57</t>
  </si>
  <si>
    <t>AM57</t>
  </si>
  <si>
    <t>AN57</t>
  </si>
  <si>
    <t>AO57</t>
  </si>
  <si>
    <t>AP57</t>
  </si>
  <si>
    <t>AS57</t>
  </si>
  <si>
    <t>AT57</t>
  </si>
  <si>
    <t>AU57</t>
  </si>
  <si>
    <t>AV57</t>
  </si>
  <si>
    <t>AW57</t>
  </si>
  <si>
    <t>AX57</t>
  </si>
  <si>
    <t>AY57</t>
  </si>
  <si>
    <t>AZ57</t>
  </si>
  <si>
    <t>BA57</t>
  </si>
  <si>
    <t>対応フォルダ</t>
    <rPh sb="0" eb="2">
      <t>タイオウ</t>
    </rPh>
    <phoneticPr fontId="1"/>
  </si>
  <si>
    <t>中央コンタクト</t>
    <rPh sb="0" eb="2">
      <t>チュウオウ</t>
    </rPh>
    <phoneticPr fontId="1"/>
  </si>
  <si>
    <t>サンプル</t>
    <phoneticPr fontId="1"/>
  </si>
  <si>
    <t>Nat在庫</t>
    <rPh sb="3" eb="5">
      <t>ザイコ</t>
    </rPh>
    <phoneticPr fontId="1"/>
  </si>
  <si>
    <t>color別集計表</t>
    <rPh sb="5" eb="6">
      <t>ベツ</t>
    </rPh>
    <rPh sb="6" eb="8">
      <t>シュウケイ</t>
    </rPh>
    <rPh sb="8" eb="9">
      <t>ヒョウ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</si>
</sst>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yyyy&quot;年&quot;m&quot;月&quot;;@"/>
    <numFmt numFmtId="178" formatCode="0_);[Red]\(0\)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2"/>
      <color rgb="FF111111"/>
      <name val="游ゴシック Light"/>
      <family val="3"/>
      <charset val="128"/>
      <scheme val="maj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auto="1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  <protection locked="0"/>
    </xf>
    <xf numFmtId="176" fontId="0" fillId="3" borderId="1" xfId="0" applyNumberFormat="1" applyFont="1" applyFill="1" applyBorder="1">
      <alignment vertical="center"/>
    </xf>
    <xf numFmtId="0" fontId="3" fillId="2" borderId="7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3" fillId="2" borderId="10" xfId="0" applyFont="1" applyFill="1" applyBorder="1" applyAlignment="1" applyProtection="1">
      <alignment horizontal="center" vertical="center"/>
    </xf>
    <xf numFmtId="0" fontId="3" fillId="2" borderId="9" xfId="0" applyFont="1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0" fillId="0" borderId="11" xfId="0" applyBorder="1">
      <alignment vertical="center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3" fillId="2" borderId="13" xfId="0" applyFont="1" applyFill="1" applyBorder="1" applyAlignment="1" applyProtection="1">
      <alignment horizontal="center" vertical="center"/>
    </xf>
    <xf numFmtId="0" fontId="3" fillId="2" borderId="14" xfId="0" applyFont="1" applyFill="1" applyBorder="1" applyAlignment="1" applyProtection="1">
      <alignment horizontal="center" vertical="center"/>
      <protection locked="0"/>
    </xf>
    <xf numFmtId="0" fontId="3" fillId="2" borderId="14" xfId="0" applyFont="1" applyFill="1" applyBorder="1" applyAlignment="1" applyProtection="1">
      <alignment horizontal="center" vertical="center"/>
    </xf>
    <xf numFmtId="0" fontId="0" fillId="2" borderId="14" xfId="0" applyFill="1" applyBorder="1" applyAlignment="1" applyProtection="1">
      <alignment horizontal="center" vertical="center"/>
    </xf>
    <xf numFmtId="0" fontId="3" fillId="2" borderId="16" xfId="0" applyFont="1" applyFill="1" applyBorder="1" applyAlignment="1" applyProtection="1">
      <alignment horizontal="center"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3" fillId="2" borderId="20" xfId="0" applyFont="1" applyFill="1" applyBorder="1" applyAlignment="1" applyProtection="1">
      <alignment horizontal="center"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3" fillId="2" borderId="15" xfId="0" applyFont="1" applyFill="1" applyBorder="1" applyAlignment="1" applyProtection="1">
      <alignment horizontal="center" vertical="center"/>
      <protection locked="0"/>
    </xf>
    <xf numFmtId="0" fontId="3" fillId="2" borderId="16" xfId="0" applyFont="1" applyFill="1" applyBorder="1" applyAlignment="1" applyProtection="1">
      <alignment horizontal="center" vertical="center"/>
      <protection locked="0"/>
    </xf>
    <xf numFmtId="0" fontId="3" fillId="2" borderId="20" xfId="0" applyFont="1" applyFill="1" applyBorder="1" applyAlignment="1" applyProtection="1">
      <alignment horizontal="center" vertical="center"/>
      <protection locked="0"/>
    </xf>
    <xf numFmtId="0" fontId="0" fillId="0" borderId="23" xfId="0" applyFill="1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3" fillId="2" borderId="29" xfId="0" applyFont="1" applyFill="1" applyBorder="1" applyAlignment="1" applyProtection="1">
      <alignment horizontal="center" vertical="center"/>
      <protection locked="0"/>
    </xf>
    <xf numFmtId="0" fontId="3" fillId="2" borderId="30" xfId="0" applyFont="1" applyFill="1" applyBorder="1" applyAlignment="1" applyProtection="1">
      <alignment horizontal="center" vertical="center"/>
      <protection locked="0"/>
    </xf>
    <xf numFmtId="0" fontId="3" fillId="2" borderId="31" xfId="0" applyFont="1" applyFill="1" applyBorder="1" applyAlignment="1" applyProtection="1">
      <alignment horizontal="center" vertical="center"/>
      <protection locked="0"/>
    </xf>
    <xf numFmtId="0" fontId="3" fillId="2" borderId="32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center" vertical="center"/>
    </xf>
    <xf numFmtId="0" fontId="3" fillId="2" borderId="33" xfId="0" applyFont="1" applyFill="1" applyBorder="1" applyAlignment="1" applyProtection="1">
      <alignment horizontal="center" vertical="center"/>
      <protection locked="0"/>
    </xf>
    <xf numFmtId="0" fontId="3" fillId="2" borderId="30" xfId="0" applyFont="1" applyFill="1" applyBorder="1" applyAlignment="1" applyProtection="1">
      <alignment horizontal="center" vertical="center"/>
    </xf>
    <xf numFmtId="0" fontId="0" fillId="2" borderId="30" xfId="0" applyFill="1" applyBorder="1" applyAlignment="1" applyProtection="1">
      <alignment horizontal="center" vertical="center"/>
    </xf>
    <xf numFmtId="0" fontId="3" fillId="2" borderId="33" xfId="0" applyFont="1" applyFill="1" applyBorder="1" applyAlignment="1" applyProtection="1">
      <alignment horizontal="center" vertical="center"/>
    </xf>
    <xf numFmtId="0" fontId="3" fillId="2" borderId="29" xfId="0" applyFont="1" applyFill="1" applyBorder="1" applyAlignment="1" applyProtection="1">
      <alignment horizontal="center" vertical="center"/>
    </xf>
    <xf numFmtId="176" fontId="0" fillId="3" borderId="27" xfId="0" applyNumberFormat="1" applyFont="1" applyFill="1" applyBorder="1">
      <alignment vertical="center"/>
    </xf>
    <xf numFmtId="176" fontId="0" fillId="3" borderId="21" xfId="0" applyNumberFormat="1" applyFont="1" applyFill="1" applyBorder="1">
      <alignment vertical="center"/>
    </xf>
    <xf numFmtId="0" fontId="3" fillId="2" borderId="5" xfId="0" applyFont="1" applyFill="1" applyBorder="1" applyAlignment="1" applyProtection="1">
      <alignment horizontal="center" vertical="center"/>
      <protection locked="0"/>
    </xf>
    <xf numFmtId="0" fontId="3" fillId="2" borderId="34" xfId="0" applyFont="1" applyFill="1" applyBorder="1" applyAlignment="1" applyProtection="1">
      <alignment horizontal="center" vertical="center"/>
    </xf>
    <xf numFmtId="0" fontId="3" fillId="2" borderId="35" xfId="0" applyFont="1" applyFill="1" applyBorder="1" applyAlignment="1" applyProtection="1">
      <alignment horizontal="center" vertical="center"/>
      <protection locked="0"/>
    </xf>
    <xf numFmtId="0" fontId="0" fillId="2" borderId="34" xfId="0" applyFill="1" applyBorder="1" applyAlignment="1" applyProtection="1">
      <alignment horizontal="center" vertical="center"/>
    </xf>
    <xf numFmtId="0" fontId="0" fillId="0" borderId="36" xfId="0" applyBorder="1">
      <alignment vertical="center"/>
    </xf>
    <xf numFmtId="0" fontId="3" fillId="2" borderId="37" xfId="0" applyFont="1" applyFill="1" applyBorder="1" applyAlignment="1" applyProtection="1">
      <alignment horizontal="center" vertical="center"/>
    </xf>
    <xf numFmtId="0" fontId="0" fillId="0" borderId="38" xfId="0" applyBorder="1">
      <alignment vertical="center"/>
    </xf>
    <xf numFmtId="0" fontId="0" fillId="0" borderId="39" xfId="0" applyBorder="1">
      <alignment vertical="center"/>
    </xf>
    <xf numFmtId="0" fontId="0" fillId="0" borderId="19" xfId="0" applyFill="1" applyBorder="1">
      <alignment vertical="center"/>
    </xf>
    <xf numFmtId="0" fontId="0" fillId="0" borderId="23" xfId="0" applyBorder="1">
      <alignment vertical="center"/>
    </xf>
    <xf numFmtId="0" fontId="3" fillId="2" borderId="40" xfId="0" applyFont="1" applyFill="1" applyBorder="1" applyAlignment="1" applyProtection="1">
      <alignment horizontal="center" vertical="center"/>
      <protection locked="0"/>
    </xf>
    <xf numFmtId="176" fontId="0" fillId="3" borderId="1" xfId="0" applyNumberFormat="1" applyFont="1" applyFill="1" applyBorder="1" applyAlignment="1">
      <alignment horizontal="right" vertical="center"/>
    </xf>
    <xf numFmtId="0" fontId="0" fillId="0" borderId="41" xfId="0" applyBorder="1">
      <alignment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Border="1" applyAlignment="1">
      <alignment horizontal="center" vertical="center"/>
    </xf>
    <xf numFmtId="0" fontId="3" fillId="2" borderId="43" xfId="0" applyFont="1" applyFill="1" applyBorder="1" applyAlignment="1" applyProtection="1">
      <alignment horizontal="center" vertical="center"/>
      <protection locked="0"/>
    </xf>
    <xf numFmtId="0" fontId="0" fillId="0" borderId="44" xfId="0" applyBorder="1">
      <alignment vertical="center"/>
    </xf>
    <xf numFmtId="0" fontId="0" fillId="0" borderId="45" xfId="0" applyBorder="1">
      <alignment vertical="center"/>
    </xf>
    <xf numFmtId="0" fontId="4" fillId="0" borderId="0" xfId="0" applyFont="1">
      <alignment vertical="center"/>
    </xf>
    <xf numFmtId="176" fontId="0" fillId="3" borderId="1" xfId="0" applyNumberFormat="1" applyFont="1" applyFill="1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177" fontId="0" fillId="0" borderId="46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4" borderId="1" xfId="0" applyNumberFormat="1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14" fontId="0" fillId="4" borderId="11" xfId="0" applyNumberFormat="1" applyFill="1" applyBorder="1" applyAlignment="1">
      <alignment horizontal="center" vertical="center"/>
    </xf>
    <xf numFmtId="14" fontId="0" fillId="4" borderId="27" xfId="0" applyNumberForma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4" borderId="42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228600</xdr:rowOff>
        </xdr:from>
        <xdr:to>
          <xdr:col>3</xdr:col>
          <xdr:colOff>847725</xdr:colOff>
          <xdr:row>6</xdr:row>
          <xdr:rowOff>228600</xdr:rowOff>
        </xdr:to>
        <xdr:sp macro="" textlink="">
          <xdr:nvSpPr>
            <xdr:cNvPr id="9218" name="ボタン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中央コンタクト集計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7</xdr:row>
          <xdr:rowOff>66675</xdr:rowOff>
        </xdr:from>
        <xdr:to>
          <xdr:col>3</xdr:col>
          <xdr:colOff>819150</xdr:colOff>
          <xdr:row>11</xdr:row>
          <xdr:rowOff>38100</xdr:rowOff>
        </xdr:to>
        <xdr:sp macro="" textlink="">
          <xdr:nvSpPr>
            <xdr:cNvPr id="9219" name="ボタン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Natファイル集計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11</xdr:row>
          <xdr:rowOff>114300</xdr:rowOff>
        </xdr:from>
        <xdr:to>
          <xdr:col>3</xdr:col>
          <xdr:colOff>828675</xdr:colOff>
          <xdr:row>15</xdr:row>
          <xdr:rowOff>47625</xdr:rowOff>
        </xdr:to>
        <xdr:sp macro="" textlink="">
          <xdr:nvSpPr>
            <xdr:cNvPr id="9220" name="ボタン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サンプル集計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15</xdr:row>
          <xdr:rowOff>123825</xdr:rowOff>
        </xdr:from>
        <xdr:to>
          <xdr:col>3</xdr:col>
          <xdr:colOff>838200</xdr:colOff>
          <xdr:row>19</xdr:row>
          <xdr:rowOff>114300</xdr:rowOff>
        </xdr:to>
        <xdr:sp macro="" textlink="">
          <xdr:nvSpPr>
            <xdr:cNvPr id="9221" name="ボタン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代理店集計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219075</xdr:rowOff>
        </xdr:from>
        <xdr:to>
          <xdr:col>3</xdr:col>
          <xdr:colOff>809625</xdr:colOff>
          <xdr:row>23</xdr:row>
          <xdr:rowOff>47625</xdr:rowOff>
        </xdr:to>
        <xdr:sp macro="" textlink="">
          <xdr:nvSpPr>
            <xdr:cNvPr id="9222" name="ボタン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サンシティ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161925</xdr:rowOff>
        </xdr:from>
        <xdr:to>
          <xdr:col>3</xdr:col>
          <xdr:colOff>819150</xdr:colOff>
          <xdr:row>27</xdr:row>
          <xdr:rowOff>0</xdr:rowOff>
        </xdr:to>
        <xdr:sp macro="" textlink="">
          <xdr:nvSpPr>
            <xdr:cNvPr id="9223" name="ボタン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0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27</xdr:row>
          <xdr:rowOff>104775</xdr:rowOff>
        </xdr:from>
        <xdr:to>
          <xdr:col>3</xdr:col>
          <xdr:colOff>819150</xdr:colOff>
          <xdr:row>30</xdr:row>
          <xdr:rowOff>180975</xdr:rowOff>
        </xdr:to>
        <xdr:sp macro="" textlink="">
          <xdr:nvSpPr>
            <xdr:cNvPr id="9224" name="ボタン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0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ライズアップ・ロキ・SBY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C43D-B544-440B-A4F6-EC345C9FEC0C}">
  <sheetPr codeName="Sheet9"/>
  <dimension ref="C2:H28"/>
  <sheetViews>
    <sheetView tabSelected="1" workbookViewId="0">
      <selection activeCell="G10" sqref="G10"/>
    </sheetView>
  </sheetViews>
  <sheetFormatPr defaultRowHeight="18.75" x14ac:dyDescent="0.4"/>
  <cols>
    <col min="4" max="4" width="11.375" bestFit="1" customWidth="1"/>
    <col min="5" max="5" width="14" customWidth="1"/>
    <col min="6" max="6" width="23.5" bestFit="1" customWidth="1"/>
    <col min="7" max="7" width="37.125" bestFit="1" customWidth="1"/>
    <col min="8" max="8" width="22.125" customWidth="1"/>
    <col min="9" max="9" width="13" bestFit="1" customWidth="1"/>
    <col min="10" max="10" width="20.125" customWidth="1"/>
  </cols>
  <sheetData>
    <row r="2" spans="3:8" x14ac:dyDescent="0.4">
      <c r="C2" s="62" t="s">
        <v>796</v>
      </c>
      <c r="D2" s="74">
        <v>42979</v>
      </c>
      <c r="E2" s="82" t="s">
        <v>1397</v>
      </c>
      <c r="F2" s="83" t="s">
        <v>906</v>
      </c>
      <c r="G2" s="83" t="s">
        <v>900</v>
      </c>
      <c r="H2" s="83" t="s">
        <v>901</v>
      </c>
    </row>
    <row r="3" spans="3:8" x14ac:dyDescent="0.4">
      <c r="C3" s="67"/>
      <c r="D3" s="65">
        <f t="shared" ref="D3" ca="1" si="0">TODAY()</f>
        <v>43097</v>
      </c>
      <c r="E3" s="84"/>
      <c r="F3" s="83" t="s">
        <v>908</v>
      </c>
      <c r="G3" s="62" t="s">
        <v>927</v>
      </c>
      <c r="H3" s="62" t="s">
        <v>780</v>
      </c>
    </row>
    <row r="4" spans="3:8" x14ac:dyDescent="0.4">
      <c r="C4" s="67"/>
      <c r="D4" s="65"/>
      <c r="E4" s="85"/>
      <c r="F4" s="83" t="s">
        <v>909</v>
      </c>
      <c r="G4" s="62" t="s">
        <v>926</v>
      </c>
      <c r="H4" s="83" t="s">
        <v>925</v>
      </c>
    </row>
    <row r="5" spans="3:8" x14ac:dyDescent="0.4">
      <c r="D5" s="65"/>
      <c r="E5" s="82" t="s">
        <v>1398</v>
      </c>
      <c r="F5" s="83" t="s">
        <v>907</v>
      </c>
      <c r="G5" s="62" t="s">
        <v>772</v>
      </c>
      <c r="H5" s="62" t="s">
        <v>783</v>
      </c>
    </row>
    <row r="6" spans="3:8" x14ac:dyDescent="0.4">
      <c r="E6" s="86" t="s">
        <v>1399</v>
      </c>
      <c r="F6" s="83" t="s">
        <v>905</v>
      </c>
      <c r="G6" s="62" t="s">
        <v>735</v>
      </c>
      <c r="H6" s="62">
        <v>20171102</v>
      </c>
    </row>
    <row r="7" spans="3:8" x14ac:dyDescent="0.4">
      <c r="E7" s="87"/>
      <c r="F7" s="83" t="s">
        <v>903</v>
      </c>
      <c r="G7" s="62" t="s">
        <v>902</v>
      </c>
      <c r="H7" s="62">
        <v>1709</v>
      </c>
    </row>
    <row r="8" spans="3:8" x14ac:dyDescent="0.4">
      <c r="E8" s="88"/>
      <c r="F8" s="83" t="s">
        <v>904</v>
      </c>
      <c r="G8" s="62" t="s">
        <v>772</v>
      </c>
      <c r="H8" s="83" t="s">
        <v>899</v>
      </c>
    </row>
    <row r="9" spans="3:8" x14ac:dyDescent="0.4">
      <c r="E9" s="86" t="s">
        <v>1400</v>
      </c>
      <c r="F9" s="86" t="s">
        <v>910</v>
      </c>
      <c r="G9" s="83" t="s">
        <v>928</v>
      </c>
      <c r="H9" s="90"/>
    </row>
    <row r="10" spans="3:8" x14ac:dyDescent="0.4">
      <c r="E10" s="87"/>
      <c r="F10" s="87"/>
      <c r="G10" s="83" t="s">
        <v>929</v>
      </c>
      <c r="H10" s="90"/>
    </row>
    <row r="11" spans="3:8" x14ac:dyDescent="0.4">
      <c r="E11" s="87"/>
      <c r="F11" s="87"/>
      <c r="G11" s="83" t="s">
        <v>930</v>
      </c>
      <c r="H11" s="90"/>
    </row>
    <row r="12" spans="3:8" x14ac:dyDescent="0.4">
      <c r="E12" s="87"/>
      <c r="F12" s="87"/>
      <c r="G12" s="83" t="s">
        <v>931</v>
      </c>
      <c r="H12" s="90"/>
    </row>
    <row r="13" spans="3:8" x14ac:dyDescent="0.4">
      <c r="E13" s="87"/>
      <c r="F13" s="87"/>
      <c r="G13" s="83" t="s">
        <v>932</v>
      </c>
      <c r="H13" s="90"/>
    </row>
    <row r="14" spans="3:8" x14ac:dyDescent="0.4">
      <c r="E14" s="88"/>
      <c r="F14" s="88"/>
      <c r="G14" s="83" t="s">
        <v>933</v>
      </c>
      <c r="H14" s="90"/>
    </row>
    <row r="15" spans="3:8" x14ac:dyDescent="0.4">
      <c r="E15" s="86"/>
      <c r="F15" s="83" t="s">
        <v>911</v>
      </c>
      <c r="G15" s="83" t="s">
        <v>793</v>
      </c>
      <c r="H15" s="83" t="s">
        <v>1401</v>
      </c>
    </row>
    <row r="16" spans="3:8" x14ac:dyDescent="0.4">
      <c r="E16" s="87"/>
      <c r="F16" s="83" t="s">
        <v>912</v>
      </c>
      <c r="G16" s="83" t="s">
        <v>794</v>
      </c>
      <c r="H16" s="83" t="s">
        <v>1401</v>
      </c>
    </row>
    <row r="17" spans="5:8" x14ac:dyDescent="0.4">
      <c r="E17" s="88"/>
      <c r="F17" s="83" t="s">
        <v>913</v>
      </c>
      <c r="G17" s="83" t="s">
        <v>795</v>
      </c>
      <c r="H17" s="83" t="s">
        <v>1401</v>
      </c>
    </row>
    <row r="18" spans="5:8" x14ac:dyDescent="0.4">
      <c r="E18" s="86"/>
      <c r="F18" s="83" t="s">
        <v>914</v>
      </c>
      <c r="G18" s="83" t="s">
        <v>924</v>
      </c>
      <c r="H18" s="62" t="s">
        <v>1181</v>
      </c>
    </row>
    <row r="19" spans="5:8" x14ac:dyDescent="0.4">
      <c r="E19" s="87"/>
      <c r="F19" s="83" t="s">
        <v>915</v>
      </c>
      <c r="G19" s="83" t="s">
        <v>779</v>
      </c>
      <c r="H19" s="62" t="s">
        <v>780</v>
      </c>
    </row>
    <row r="20" spans="5:8" x14ac:dyDescent="0.4">
      <c r="E20" s="87"/>
      <c r="F20" s="83" t="s">
        <v>916</v>
      </c>
      <c r="G20" s="83" t="s">
        <v>781</v>
      </c>
      <c r="H20" s="62" t="s">
        <v>780</v>
      </c>
    </row>
    <row r="21" spans="5:8" x14ac:dyDescent="0.4">
      <c r="E21" s="87"/>
      <c r="F21" s="83" t="s">
        <v>917</v>
      </c>
      <c r="G21" s="83" t="s">
        <v>782</v>
      </c>
      <c r="H21" s="62" t="s">
        <v>780</v>
      </c>
    </row>
    <row r="22" spans="5:8" x14ac:dyDescent="0.4">
      <c r="E22" s="87"/>
      <c r="F22" s="83" t="s">
        <v>918</v>
      </c>
      <c r="G22" s="83" t="s">
        <v>784</v>
      </c>
      <c r="H22" s="62" t="s">
        <v>780</v>
      </c>
    </row>
    <row r="23" spans="5:8" x14ac:dyDescent="0.4">
      <c r="E23" s="87"/>
      <c r="F23" s="83" t="s">
        <v>919</v>
      </c>
      <c r="G23" s="83" t="s">
        <v>785</v>
      </c>
      <c r="H23" s="62" t="s">
        <v>780</v>
      </c>
    </row>
    <row r="24" spans="5:8" x14ac:dyDescent="0.4">
      <c r="E24" s="87"/>
      <c r="F24" s="83" t="s">
        <v>920</v>
      </c>
      <c r="G24" s="83" t="s">
        <v>786</v>
      </c>
      <c r="H24" s="62" t="s">
        <v>787</v>
      </c>
    </row>
    <row r="25" spans="5:8" x14ac:dyDescent="0.4">
      <c r="E25" s="87"/>
      <c r="F25" s="83" t="s">
        <v>921</v>
      </c>
      <c r="G25" s="83" t="s">
        <v>788</v>
      </c>
      <c r="H25" s="62" t="s">
        <v>789</v>
      </c>
    </row>
    <row r="26" spans="5:8" x14ac:dyDescent="0.4">
      <c r="E26" s="87"/>
      <c r="F26" s="83" t="s">
        <v>922</v>
      </c>
      <c r="G26" s="83" t="s">
        <v>790</v>
      </c>
      <c r="H26" s="62" t="s">
        <v>791</v>
      </c>
    </row>
    <row r="27" spans="5:8" x14ac:dyDescent="0.4">
      <c r="E27" s="88"/>
      <c r="F27" s="83" t="s">
        <v>923</v>
      </c>
      <c r="G27" s="83" t="s">
        <v>792</v>
      </c>
      <c r="H27" s="62" t="s">
        <v>780</v>
      </c>
    </row>
    <row r="28" spans="5:8" x14ac:dyDescent="0.4">
      <c r="E28" s="89"/>
      <c r="F28" s="83" t="s">
        <v>1182</v>
      </c>
      <c r="G28" s="62" t="s">
        <v>1183</v>
      </c>
      <c r="H28" s="62">
        <v>201709</v>
      </c>
    </row>
  </sheetData>
  <mergeCells count="6">
    <mergeCell ref="F9:F14"/>
    <mergeCell ref="E3:E4"/>
    <mergeCell ref="E6:E8"/>
    <mergeCell ref="E9:E14"/>
    <mergeCell ref="E18:E27"/>
    <mergeCell ref="E15:E17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中央コンタクト転記保存">
                <anchor moveWithCells="1" sizeWithCells="1">
                  <from>
                    <xdr:col>0</xdr:col>
                    <xdr:colOff>104775</xdr:colOff>
                    <xdr:row>2</xdr:row>
                    <xdr:rowOff>228600</xdr:rowOff>
                  </from>
                  <to>
                    <xdr:col>3</xdr:col>
                    <xdr:colOff>847725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NATファイル集計保存">
                <anchor moveWithCells="1" sizeWithCells="1">
                  <from>
                    <xdr:col>0</xdr:col>
                    <xdr:colOff>104775</xdr:colOff>
                    <xdr:row>7</xdr:row>
                    <xdr:rowOff>66675</xdr:rowOff>
                  </from>
                  <to>
                    <xdr:col>3</xdr:col>
                    <xdr:colOff>819150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サンプル仕入れ転記保存">
                <anchor moveWithCells="1" sizeWithCells="1">
                  <from>
                    <xdr:col>0</xdr:col>
                    <xdr:colOff>104775</xdr:colOff>
                    <xdr:row>11</xdr:row>
                    <xdr:rowOff>114300</xdr:rowOff>
                  </from>
                  <to>
                    <xdr:col>3</xdr:col>
                    <xdr:colOff>828675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委託販売転記保存">
                <anchor moveWithCells="1" sizeWithCells="1">
                  <from>
                    <xdr:col>0</xdr:col>
                    <xdr:colOff>104775</xdr:colOff>
                    <xdr:row>15</xdr:row>
                    <xdr:rowOff>123825</xdr:rowOff>
                  </from>
                  <to>
                    <xdr:col>3</xdr:col>
                    <xdr:colOff>838200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サンシティ保存">
                <anchor moveWithCells="1" sizeWithCells="1">
                  <from>
                    <xdr:col>0</xdr:col>
                    <xdr:colOff>57150</xdr:colOff>
                    <xdr:row>19</xdr:row>
                    <xdr:rowOff>219075</xdr:rowOff>
                  </from>
                  <to>
                    <xdr:col>3</xdr:col>
                    <xdr:colOff>809625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 macro="[0]!DETファイル集計">
                <anchor moveWithCells="1" sizeWithCells="1">
                  <from>
                    <xdr:col>0</xdr:col>
                    <xdr:colOff>57150</xdr:colOff>
                    <xdr:row>23</xdr:row>
                    <xdr:rowOff>161925</xdr:rowOff>
                  </from>
                  <to>
                    <xdr:col>3</xdr:col>
                    <xdr:colOff>819150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Button 8">
              <controlPr defaultSize="0" print="0" autoFill="0" autoPict="0" macro="[0]!ライズアップ転記保存">
                <anchor moveWithCells="1" sizeWithCells="1">
                  <from>
                    <xdr:col>0</xdr:col>
                    <xdr:colOff>57150</xdr:colOff>
                    <xdr:row>27</xdr:row>
                    <xdr:rowOff>104775</xdr:rowOff>
                  </from>
                  <to>
                    <xdr:col>3</xdr:col>
                    <xdr:colOff>819150</xdr:colOff>
                    <xdr:row>30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111E1-CA4F-44B1-91D2-B29DFE949561}">
  <sheetPr codeName="Sheet27"/>
  <dimension ref="A1:D8"/>
  <sheetViews>
    <sheetView workbookViewId="0">
      <selection activeCell="B12" sqref="B12:B13"/>
    </sheetView>
  </sheetViews>
  <sheetFormatPr defaultRowHeight="18.75" x14ac:dyDescent="0.4"/>
  <cols>
    <col min="1" max="1" width="11" bestFit="1" customWidth="1"/>
    <col min="2" max="2" width="33.375" bestFit="1" customWidth="1"/>
    <col min="3" max="4" width="13" bestFit="1" customWidth="1"/>
  </cols>
  <sheetData>
    <row r="1" spans="1:4" x14ac:dyDescent="0.4">
      <c r="A1" s="1" t="s">
        <v>709</v>
      </c>
      <c r="B1" s="1" t="str">
        <f>(集計!G28)</f>
        <v>【DET売上データ170901-170930】</v>
      </c>
      <c r="C1" t="s">
        <v>898</v>
      </c>
      <c r="D1" s="1">
        <f>(集計!H28)</f>
        <v>201709</v>
      </c>
    </row>
    <row r="2" spans="1:4" x14ac:dyDescent="0.4">
      <c r="C2" s="15" t="s">
        <v>1</v>
      </c>
      <c r="D2" s="15" t="s">
        <v>32</v>
      </c>
    </row>
    <row r="3" spans="1:4" ht="18.75" customHeight="1" x14ac:dyDescent="0.4">
      <c r="B3" s="73" t="s">
        <v>1193</v>
      </c>
      <c r="C3" s="72" t="s">
        <v>1188</v>
      </c>
      <c r="D3" s="72" t="s">
        <v>1194</v>
      </c>
    </row>
    <row r="4" spans="1:4" x14ac:dyDescent="0.4">
      <c r="B4" s="73" t="s">
        <v>1184</v>
      </c>
      <c r="C4" s="72" t="s">
        <v>1189</v>
      </c>
      <c r="D4" s="72" t="s">
        <v>1195</v>
      </c>
    </row>
    <row r="5" spans="1:4" x14ac:dyDescent="0.4">
      <c r="B5" s="73" t="s">
        <v>1185</v>
      </c>
      <c r="C5" s="72" t="s">
        <v>1190</v>
      </c>
      <c r="D5" s="72" t="s">
        <v>1196</v>
      </c>
    </row>
    <row r="6" spans="1:4" x14ac:dyDescent="0.4">
      <c r="B6" s="73" t="s">
        <v>1186</v>
      </c>
      <c r="C6" s="72" t="s">
        <v>1191</v>
      </c>
      <c r="D6" s="72" t="s">
        <v>1197</v>
      </c>
    </row>
    <row r="7" spans="1:4" x14ac:dyDescent="0.4">
      <c r="B7" s="73" t="s">
        <v>1187</v>
      </c>
      <c r="C7" s="72" t="s">
        <v>1192</v>
      </c>
      <c r="D7" s="72" t="s">
        <v>1198</v>
      </c>
    </row>
    <row r="8" spans="1:4" ht="18.75" customHeight="1" x14ac:dyDescent="0.4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5A86E-C381-401F-98BE-14695FA59F3C}">
  <sheetPr codeName="Sheet6"/>
  <dimension ref="A1:F28"/>
  <sheetViews>
    <sheetView workbookViewId="0">
      <selection activeCell="C13" sqref="C13"/>
    </sheetView>
  </sheetViews>
  <sheetFormatPr defaultRowHeight="18.75" x14ac:dyDescent="0.4"/>
  <cols>
    <col min="1" max="1" width="11" bestFit="1" customWidth="1"/>
    <col min="2" max="2" width="35" customWidth="1"/>
    <col min="3" max="3" width="9" bestFit="1" customWidth="1"/>
    <col min="4" max="4" width="14" customWidth="1"/>
    <col min="5" max="5" width="12.25" bestFit="1" customWidth="1"/>
    <col min="6" max="6" width="12.375" bestFit="1" customWidth="1"/>
  </cols>
  <sheetData>
    <row r="1" spans="1:6" x14ac:dyDescent="0.4">
      <c r="A1" s="1" t="s">
        <v>709</v>
      </c>
      <c r="B1" s="1" t="str">
        <f>(集計!G3)</f>
        <v>★カラコンワークス預け在庫_20141207</v>
      </c>
      <c r="C1" s="1" t="s">
        <v>898</v>
      </c>
      <c r="D1" s="1" t="str">
        <f>(集計!H3)</f>
        <v>201604～</v>
      </c>
    </row>
    <row r="2" spans="1:6" ht="19.5" thickBot="1" x14ac:dyDescent="0.45">
      <c r="A2" t="s">
        <v>988</v>
      </c>
      <c r="C2" s="1" t="s">
        <v>0</v>
      </c>
      <c r="D2" s="1" t="s">
        <v>1</v>
      </c>
      <c r="E2" s="1" t="s">
        <v>2</v>
      </c>
      <c r="F2" s="1" t="s">
        <v>32</v>
      </c>
    </row>
    <row r="3" spans="1:6" x14ac:dyDescent="0.4">
      <c r="B3" s="75" t="s">
        <v>23</v>
      </c>
      <c r="C3" s="12" t="s">
        <v>24</v>
      </c>
      <c r="D3" s="5">
        <v>6</v>
      </c>
      <c r="E3" s="5">
        <v>35</v>
      </c>
      <c r="F3" s="5" t="s">
        <v>503</v>
      </c>
    </row>
    <row r="4" spans="1:6" x14ac:dyDescent="0.4">
      <c r="B4" s="76"/>
      <c r="C4" s="9" t="s">
        <v>25</v>
      </c>
      <c r="D4" s="5">
        <v>36</v>
      </c>
      <c r="E4" s="5">
        <v>65</v>
      </c>
      <c r="F4" s="5" t="s">
        <v>504</v>
      </c>
    </row>
    <row r="5" spans="1:6" x14ac:dyDescent="0.4">
      <c r="B5" s="76"/>
      <c r="C5" s="9" t="s">
        <v>26</v>
      </c>
      <c r="D5" s="5">
        <v>66</v>
      </c>
      <c r="E5" s="5">
        <v>95</v>
      </c>
      <c r="F5" s="5" t="s">
        <v>505</v>
      </c>
    </row>
    <row r="6" spans="1:6" x14ac:dyDescent="0.4">
      <c r="B6" s="76"/>
      <c r="C6" s="9" t="s">
        <v>19</v>
      </c>
      <c r="D6" s="5">
        <v>96</v>
      </c>
      <c r="E6" s="5">
        <v>125</v>
      </c>
      <c r="F6" s="5" t="s">
        <v>506</v>
      </c>
    </row>
    <row r="7" spans="1:6" x14ac:dyDescent="0.4">
      <c r="B7" s="76"/>
      <c r="C7" s="9" t="s">
        <v>18</v>
      </c>
      <c r="D7" s="5">
        <v>126</v>
      </c>
      <c r="E7" s="5">
        <v>155</v>
      </c>
      <c r="F7" s="5" t="s">
        <v>507</v>
      </c>
    </row>
    <row r="8" spans="1:6" x14ac:dyDescent="0.4">
      <c r="B8" s="76"/>
      <c r="C8" s="9" t="s">
        <v>27</v>
      </c>
      <c r="D8" s="5">
        <v>156</v>
      </c>
      <c r="E8" s="5">
        <v>185</v>
      </c>
      <c r="F8" s="5" t="s">
        <v>508</v>
      </c>
    </row>
    <row r="9" spans="1:6" ht="19.5" thickBot="1" x14ac:dyDescent="0.45">
      <c r="B9" s="78"/>
      <c r="C9" s="17" t="s">
        <v>17</v>
      </c>
      <c r="D9" s="5">
        <v>186</v>
      </c>
      <c r="E9" s="5">
        <v>215</v>
      </c>
      <c r="F9" s="5" t="s">
        <v>509</v>
      </c>
    </row>
    <row r="10" spans="1:6" x14ac:dyDescent="0.4">
      <c r="B10" s="75" t="s">
        <v>37</v>
      </c>
      <c r="C10" s="12" t="s">
        <v>17</v>
      </c>
      <c r="D10" s="5">
        <v>216</v>
      </c>
      <c r="E10" s="5">
        <v>247</v>
      </c>
      <c r="F10" s="5" t="s">
        <v>498</v>
      </c>
    </row>
    <row r="11" spans="1:6" x14ac:dyDescent="0.4">
      <c r="B11" s="76"/>
      <c r="C11" s="9" t="s">
        <v>18</v>
      </c>
      <c r="D11" s="5">
        <v>248</v>
      </c>
      <c r="E11" s="5">
        <v>279</v>
      </c>
      <c r="F11" s="5" t="s">
        <v>499</v>
      </c>
    </row>
    <row r="12" spans="1:6" x14ac:dyDescent="0.4">
      <c r="B12" s="76"/>
      <c r="C12" s="9" t="s">
        <v>19</v>
      </c>
      <c r="D12" s="5">
        <v>280</v>
      </c>
      <c r="E12" s="5">
        <v>311</v>
      </c>
      <c r="F12" s="5" t="s">
        <v>500</v>
      </c>
    </row>
    <row r="13" spans="1:6" x14ac:dyDescent="0.4">
      <c r="B13" s="76"/>
      <c r="C13" s="9" t="s">
        <v>20</v>
      </c>
      <c r="D13" s="5">
        <v>312</v>
      </c>
      <c r="E13" s="5">
        <v>343</v>
      </c>
      <c r="F13" s="5" t="s">
        <v>501</v>
      </c>
    </row>
    <row r="14" spans="1:6" ht="19.5" thickBot="1" x14ac:dyDescent="0.45">
      <c r="B14" s="77"/>
      <c r="C14" s="11" t="s">
        <v>21</v>
      </c>
      <c r="D14" s="5">
        <v>344</v>
      </c>
      <c r="E14" s="5">
        <v>375</v>
      </c>
      <c r="F14" s="5" t="s">
        <v>502</v>
      </c>
    </row>
    <row r="16" spans="1:6" ht="19.5" thickBot="1" x14ac:dyDescent="0.45">
      <c r="A16" t="s">
        <v>989</v>
      </c>
      <c r="C16" s="1" t="s">
        <v>0</v>
      </c>
      <c r="D16" s="1" t="s">
        <v>1</v>
      </c>
      <c r="E16" s="1" t="s">
        <v>2</v>
      </c>
      <c r="F16" s="1" t="s">
        <v>32</v>
      </c>
    </row>
    <row r="17" spans="2:6" x14ac:dyDescent="0.4">
      <c r="B17" s="75" t="s">
        <v>23</v>
      </c>
      <c r="C17" s="12" t="s">
        <v>24</v>
      </c>
      <c r="D17" s="5">
        <v>6</v>
      </c>
      <c r="E17" s="5">
        <v>35</v>
      </c>
      <c r="F17" s="5" t="s">
        <v>990</v>
      </c>
    </row>
    <row r="18" spans="2:6" x14ac:dyDescent="0.4">
      <c r="B18" s="76"/>
      <c r="C18" s="9" t="s">
        <v>25</v>
      </c>
      <c r="D18" s="5">
        <v>36</v>
      </c>
      <c r="E18" s="5">
        <v>65</v>
      </c>
      <c r="F18" s="5" t="s">
        <v>991</v>
      </c>
    </row>
    <row r="19" spans="2:6" x14ac:dyDescent="0.4">
      <c r="B19" s="76"/>
      <c r="C19" s="9" t="s">
        <v>26</v>
      </c>
      <c r="D19" s="5">
        <v>66</v>
      </c>
      <c r="E19" s="5">
        <v>95</v>
      </c>
      <c r="F19" s="5" t="s">
        <v>992</v>
      </c>
    </row>
    <row r="20" spans="2:6" x14ac:dyDescent="0.4">
      <c r="B20" s="76"/>
      <c r="C20" s="9" t="s">
        <v>19</v>
      </c>
      <c r="D20" s="5">
        <v>96</v>
      </c>
      <c r="E20" s="5">
        <v>125</v>
      </c>
      <c r="F20" s="5" t="s">
        <v>993</v>
      </c>
    </row>
    <row r="21" spans="2:6" x14ac:dyDescent="0.4">
      <c r="B21" s="76"/>
      <c r="C21" s="9" t="s">
        <v>18</v>
      </c>
      <c r="D21" s="5">
        <v>126</v>
      </c>
      <c r="E21" s="5">
        <v>155</v>
      </c>
      <c r="F21" s="5" t="s">
        <v>994</v>
      </c>
    </row>
    <row r="22" spans="2:6" x14ac:dyDescent="0.4">
      <c r="B22" s="76"/>
      <c r="C22" s="9" t="s">
        <v>27</v>
      </c>
      <c r="D22" s="5">
        <v>156</v>
      </c>
      <c r="E22" s="5">
        <v>185</v>
      </c>
      <c r="F22" s="5" t="s">
        <v>995</v>
      </c>
    </row>
    <row r="23" spans="2:6" ht="19.5" thickBot="1" x14ac:dyDescent="0.45">
      <c r="B23" s="78"/>
      <c r="C23" s="17" t="s">
        <v>17</v>
      </c>
      <c r="D23" s="5">
        <v>186</v>
      </c>
      <c r="E23" s="5">
        <v>215</v>
      </c>
      <c r="F23" s="5" t="s">
        <v>996</v>
      </c>
    </row>
    <row r="24" spans="2:6" x14ac:dyDescent="0.4">
      <c r="B24" s="75" t="s">
        <v>37</v>
      </c>
      <c r="C24" s="12" t="s">
        <v>17</v>
      </c>
      <c r="D24" s="5">
        <v>216</v>
      </c>
      <c r="E24" s="5">
        <v>247</v>
      </c>
      <c r="F24" s="5" t="s">
        <v>997</v>
      </c>
    </row>
    <row r="25" spans="2:6" x14ac:dyDescent="0.4">
      <c r="B25" s="76"/>
      <c r="C25" s="9" t="s">
        <v>18</v>
      </c>
      <c r="D25" s="5">
        <v>248</v>
      </c>
      <c r="E25" s="5">
        <v>279</v>
      </c>
      <c r="F25" s="5" t="s">
        <v>998</v>
      </c>
    </row>
    <row r="26" spans="2:6" x14ac:dyDescent="0.4">
      <c r="B26" s="76"/>
      <c r="C26" s="9" t="s">
        <v>19</v>
      </c>
      <c r="D26" s="5">
        <v>280</v>
      </c>
      <c r="E26" s="5">
        <v>311</v>
      </c>
      <c r="F26" s="5" t="s">
        <v>999</v>
      </c>
    </row>
    <row r="27" spans="2:6" x14ac:dyDescent="0.4">
      <c r="B27" s="76"/>
      <c r="C27" s="9" t="s">
        <v>20</v>
      </c>
      <c r="D27" s="5">
        <v>312</v>
      </c>
      <c r="E27" s="5">
        <v>343</v>
      </c>
      <c r="F27" s="5" t="s">
        <v>1000</v>
      </c>
    </row>
    <row r="28" spans="2:6" ht="19.5" thickBot="1" x14ac:dyDescent="0.45">
      <c r="B28" s="77"/>
      <c r="C28" s="11" t="s">
        <v>21</v>
      </c>
      <c r="D28" s="5">
        <v>344</v>
      </c>
      <c r="E28" s="5">
        <v>375</v>
      </c>
      <c r="F28" s="5" t="s">
        <v>1001</v>
      </c>
    </row>
  </sheetData>
  <dataConsolidate/>
  <mergeCells count="4">
    <mergeCell ref="B10:B14"/>
    <mergeCell ref="B3:B9"/>
    <mergeCell ref="B17:B23"/>
    <mergeCell ref="B24:B28"/>
  </mergeCells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19164-345C-47BE-BB94-1635ED785323}">
  <sheetPr codeName="Sheet1"/>
  <dimension ref="A1:AP74"/>
  <sheetViews>
    <sheetView zoomScale="99" zoomScaleNormal="99" workbookViewId="0">
      <selection activeCell="D30" sqref="D30"/>
    </sheetView>
  </sheetViews>
  <sheetFormatPr defaultRowHeight="18.75" x14ac:dyDescent="0.4"/>
  <cols>
    <col min="1" max="1" width="10" customWidth="1"/>
    <col min="2" max="2" width="26.625" bestFit="1" customWidth="1"/>
    <col min="3" max="3" width="13.75" bestFit="1" customWidth="1"/>
    <col min="4" max="7" width="13.125" bestFit="1" customWidth="1"/>
    <col min="8" max="8" width="26.625" bestFit="1" customWidth="1"/>
    <col min="9" max="9" width="13.75" bestFit="1" customWidth="1"/>
    <col min="10" max="12" width="13.125" bestFit="1" customWidth="1"/>
    <col min="13" max="13" width="12.75" customWidth="1"/>
    <col min="14" max="14" width="26.625" bestFit="1" customWidth="1"/>
    <col min="15" max="15" width="13.75" bestFit="1" customWidth="1"/>
    <col min="16" max="18" width="13.125" bestFit="1" customWidth="1"/>
    <col min="19" max="19" width="12.75" customWidth="1"/>
    <col min="20" max="20" width="26.625" bestFit="1" customWidth="1"/>
    <col min="21" max="21" width="13.75" bestFit="1" customWidth="1"/>
    <col min="22" max="24" width="13.125" bestFit="1" customWidth="1"/>
    <col min="25" max="25" width="12.75" customWidth="1"/>
    <col min="26" max="26" width="26.625" bestFit="1" customWidth="1"/>
    <col min="27" max="27" width="13.75" bestFit="1" customWidth="1"/>
    <col min="28" max="30" width="13.125" bestFit="1" customWidth="1"/>
    <col min="31" max="31" width="12.75" customWidth="1"/>
    <col min="32" max="32" width="26.625" bestFit="1" customWidth="1"/>
    <col min="33" max="33" width="13.75" bestFit="1" customWidth="1"/>
    <col min="34" max="36" width="13.125" bestFit="1" customWidth="1"/>
    <col min="37" max="37" width="12.75" customWidth="1"/>
    <col min="38" max="38" width="26.625" bestFit="1" customWidth="1"/>
    <col min="39" max="39" width="13.75" bestFit="1" customWidth="1"/>
    <col min="40" max="42" width="13.125" bestFit="1" customWidth="1"/>
  </cols>
  <sheetData>
    <row r="1" spans="1:42" x14ac:dyDescent="0.4">
      <c r="A1" s="1" t="s">
        <v>709</v>
      </c>
      <c r="B1" s="1" t="str">
        <f>(集計!G4)</f>
        <v>★サンシティ預け在庫201707</v>
      </c>
      <c r="C1" s="1" t="s">
        <v>934</v>
      </c>
      <c r="D1" s="1" t="str">
        <f>(集計!H4)</f>
        <v>東心斎橋</v>
      </c>
      <c r="AL1">
        <v>38</v>
      </c>
      <c r="AN1">
        <v>40</v>
      </c>
      <c r="AO1">
        <v>41</v>
      </c>
      <c r="AP1">
        <v>42</v>
      </c>
    </row>
    <row r="2" spans="1:42" ht="19.5" customHeight="1" thickBot="1" x14ac:dyDescent="0.45">
      <c r="B2" t="s">
        <v>74</v>
      </c>
      <c r="C2" s="1" t="s">
        <v>0</v>
      </c>
      <c r="D2" s="1" t="s">
        <v>1</v>
      </c>
      <c r="E2" s="1" t="s">
        <v>2</v>
      </c>
      <c r="F2" s="1" t="s">
        <v>32</v>
      </c>
      <c r="H2" t="s">
        <v>75</v>
      </c>
      <c r="I2" s="1" t="s">
        <v>0</v>
      </c>
      <c r="J2" s="1" t="s">
        <v>1</v>
      </c>
      <c r="K2" s="1" t="s">
        <v>2</v>
      </c>
      <c r="L2" s="1" t="s">
        <v>32</v>
      </c>
      <c r="N2" t="s">
        <v>76</v>
      </c>
      <c r="O2" s="1" t="s">
        <v>0</v>
      </c>
      <c r="P2" s="1" t="s">
        <v>1</v>
      </c>
      <c r="Q2" s="1" t="s">
        <v>2</v>
      </c>
      <c r="R2" s="1" t="s">
        <v>32</v>
      </c>
      <c r="T2" t="s">
        <v>77</v>
      </c>
      <c r="U2" s="1" t="s">
        <v>0</v>
      </c>
      <c r="V2" s="1" t="s">
        <v>1</v>
      </c>
      <c r="W2" s="1" t="s">
        <v>2</v>
      </c>
      <c r="X2" s="1" t="s">
        <v>32</v>
      </c>
      <c r="Z2" t="s">
        <v>78</v>
      </c>
      <c r="AA2" s="1" t="s">
        <v>0</v>
      </c>
      <c r="AB2" s="1" t="s">
        <v>1</v>
      </c>
      <c r="AC2" s="1" t="s">
        <v>2</v>
      </c>
      <c r="AD2" s="1" t="s">
        <v>32</v>
      </c>
      <c r="AF2" t="s">
        <v>897</v>
      </c>
      <c r="AG2" s="1" t="s">
        <v>0</v>
      </c>
      <c r="AH2" s="1" t="s">
        <v>1</v>
      </c>
      <c r="AI2" s="1" t="s">
        <v>2</v>
      </c>
      <c r="AJ2" s="1" t="s">
        <v>32</v>
      </c>
      <c r="AL2" t="s">
        <v>79</v>
      </c>
      <c r="AM2" s="1" t="s">
        <v>0</v>
      </c>
      <c r="AN2" s="1" t="s">
        <v>1</v>
      </c>
      <c r="AO2" s="1" t="s">
        <v>2</v>
      </c>
      <c r="AP2" s="1" t="s">
        <v>32</v>
      </c>
    </row>
    <row r="3" spans="1:42" ht="18.600000000000001" customHeight="1" thickBot="1" x14ac:dyDescent="0.45">
      <c r="A3" t="s">
        <v>988</v>
      </c>
      <c r="C3" s="15" t="s">
        <v>3</v>
      </c>
      <c r="D3" s="15">
        <v>5</v>
      </c>
      <c r="E3" s="15">
        <v>35</v>
      </c>
      <c r="F3" s="15" t="s">
        <v>510</v>
      </c>
      <c r="I3" s="15" t="s">
        <v>3</v>
      </c>
      <c r="J3" s="15">
        <v>5</v>
      </c>
      <c r="K3" s="15">
        <v>35</v>
      </c>
      <c r="L3" s="15" t="s">
        <v>545</v>
      </c>
      <c r="O3" s="15" t="s">
        <v>3</v>
      </c>
      <c r="P3" s="15">
        <v>5</v>
      </c>
      <c r="Q3" s="15">
        <v>35</v>
      </c>
      <c r="R3" s="15" t="s">
        <v>580</v>
      </c>
      <c r="U3" s="15" t="s">
        <v>3</v>
      </c>
      <c r="V3" s="15">
        <v>5</v>
      </c>
      <c r="W3" s="15">
        <v>35</v>
      </c>
      <c r="X3" s="15" t="s">
        <v>615</v>
      </c>
      <c r="AA3" s="15" t="s">
        <v>3</v>
      </c>
      <c r="AB3" s="15">
        <v>5</v>
      </c>
      <c r="AC3" s="15">
        <v>35</v>
      </c>
      <c r="AD3" s="15" t="s">
        <v>650</v>
      </c>
      <c r="AF3" s="79" t="s">
        <v>16</v>
      </c>
      <c r="AG3" s="18" t="s">
        <v>7</v>
      </c>
      <c r="AH3" s="1">
        <v>5</v>
      </c>
      <c r="AI3" s="1">
        <v>36</v>
      </c>
      <c r="AJ3" s="24" t="s">
        <v>686</v>
      </c>
      <c r="AM3" s="15" t="s">
        <v>3</v>
      </c>
      <c r="AN3" s="15">
        <v>6</v>
      </c>
      <c r="AO3" s="15">
        <v>36</v>
      </c>
      <c r="AP3" s="15" t="s">
        <v>862</v>
      </c>
    </row>
    <row r="4" spans="1:42" x14ac:dyDescent="0.4">
      <c r="B4" s="79" t="s">
        <v>16</v>
      </c>
      <c r="C4" s="18" t="s">
        <v>6</v>
      </c>
      <c r="D4" s="1">
        <v>36</v>
      </c>
      <c r="E4" s="1">
        <v>67</v>
      </c>
      <c r="F4" s="24" t="s">
        <v>513</v>
      </c>
      <c r="H4" s="79" t="s">
        <v>16</v>
      </c>
      <c r="I4" s="29" t="s">
        <v>6</v>
      </c>
      <c r="J4" s="22">
        <v>36</v>
      </c>
      <c r="K4" s="22">
        <v>67</v>
      </c>
      <c r="L4" s="23" t="s">
        <v>548</v>
      </c>
      <c r="N4" s="79" t="s">
        <v>16</v>
      </c>
      <c r="O4" s="29" t="s">
        <v>6</v>
      </c>
      <c r="P4" s="22">
        <v>36</v>
      </c>
      <c r="Q4" s="22">
        <v>67</v>
      </c>
      <c r="R4" s="23" t="s">
        <v>583</v>
      </c>
      <c r="T4" s="79" t="s">
        <v>16</v>
      </c>
      <c r="U4" s="29" t="s">
        <v>6</v>
      </c>
      <c r="V4" s="22">
        <v>36</v>
      </c>
      <c r="W4" s="22">
        <v>67</v>
      </c>
      <c r="X4" s="23" t="s">
        <v>618</v>
      </c>
      <c r="Z4" s="79" t="s">
        <v>16</v>
      </c>
      <c r="AA4" s="29" t="s">
        <v>6</v>
      </c>
      <c r="AB4" s="22">
        <v>36</v>
      </c>
      <c r="AC4" s="22">
        <v>67</v>
      </c>
      <c r="AD4" s="23" t="s">
        <v>653</v>
      </c>
      <c r="AF4" s="80"/>
      <c r="AG4" s="18" t="s">
        <v>9</v>
      </c>
      <c r="AH4" s="1">
        <v>37</v>
      </c>
      <c r="AI4" s="1">
        <v>68</v>
      </c>
      <c r="AJ4" s="24" t="s">
        <v>687</v>
      </c>
      <c r="AL4" s="79" t="s">
        <v>16</v>
      </c>
      <c r="AM4" s="29" t="s">
        <v>6</v>
      </c>
      <c r="AN4" s="22">
        <v>37</v>
      </c>
      <c r="AO4" s="22">
        <v>68</v>
      </c>
      <c r="AP4" s="23" t="s">
        <v>863</v>
      </c>
    </row>
    <row r="5" spans="1:42" x14ac:dyDescent="0.4">
      <c r="B5" s="80"/>
      <c r="C5" s="18" t="s">
        <v>7</v>
      </c>
      <c r="D5" s="1">
        <v>68</v>
      </c>
      <c r="E5" s="1">
        <v>99</v>
      </c>
      <c r="F5" s="24" t="s">
        <v>514</v>
      </c>
      <c r="H5" s="80"/>
      <c r="I5" s="18" t="s">
        <v>7</v>
      </c>
      <c r="J5" s="1">
        <v>68</v>
      </c>
      <c r="K5" s="1">
        <v>99</v>
      </c>
      <c r="L5" s="24" t="s">
        <v>549</v>
      </c>
      <c r="N5" s="80"/>
      <c r="O5" s="18" t="s">
        <v>7</v>
      </c>
      <c r="P5" s="1">
        <v>68</v>
      </c>
      <c r="Q5" s="1">
        <v>99</v>
      </c>
      <c r="R5" s="24" t="s">
        <v>584</v>
      </c>
      <c r="T5" s="80"/>
      <c r="U5" s="18" t="s">
        <v>7</v>
      </c>
      <c r="V5" s="1">
        <v>68</v>
      </c>
      <c r="W5" s="1">
        <v>99</v>
      </c>
      <c r="X5" s="24" t="s">
        <v>619</v>
      </c>
      <c r="Z5" s="80"/>
      <c r="AA5" s="18" t="s">
        <v>7</v>
      </c>
      <c r="AB5" s="1">
        <v>68</v>
      </c>
      <c r="AC5" s="1">
        <v>99</v>
      </c>
      <c r="AD5" s="24" t="s">
        <v>654</v>
      </c>
      <c r="AF5" s="80"/>
      <c r="AG5" s="18" t="s">
        <v>15</v>
      </c>
      <c r="AH5" s="1">
        <v>69</v>
      </c>
      <c r="AI5" s="1">
        <v>100</v>
      </c>
      <c r="AJ5" s="24" t="s">
        <v>688</v>
      </c>
      <c r="AL5" s="80"/>
      <c r="AM5" s="18" t="s">
        <v>7</v>
      </c>
      <c r="AN5" s="1">
        <v>69</v>
      </c>
      <c r="AO5" s="1">
        <v>100</v>
      </c>
      <c r="AP5" s="24" t="s">
        <v>864</v>
      </c>
    </row>
    <row r="6" spans="1:42" ht="19.5" thickBot="1" x14ac:dyDescent="0.45">
      <c r="B6" s="80"/>
      <c r="C6" s="18" t="s">
        <v>8</v>
      </c>
      <c r="D6" s="1">
        <v>100</v>
      </c>
      <c r="E6" s="1">
        <v>131</v>
      </c>
      <c r="F6" s="24" t="s">
        <v>515</v>
      </c>
      <c r="H6" s="80"/>
      <c r="I6" s="18" t="s">
        <v>8</v>
      </c>
      <c r="J6" s="1">
        <v>100</v>
      </c>
      <c r="K6" s="1">
        <v>131</v>
      </c>
      <c r="L6" s="24" t="s">
        <v>550</v>
      </c>
      <c r="N6" s="80"/>
      <c r="O6" s="18" t="s">
        <v>8</v>
      </c>
      <c r="P6" s="1">
        <v>100</v>
      </c>
      <c r="Q6" s="1">
        <v>131</v>
      </c>
      <c r="R6" s="24" t="s">
        <v>585</v>
      </c>
      <c r="T6" s="80"/>
      <c r="U6" s="18" t="s">
        <v>8</v>
      </c>
      <c r="V6" s="1">
        <v>100</v>
      </c>
      <c r="W6" s="1">
        <v>131</v>
      </c>
      <c r="X6" s="24" t="s">
        <v>620</v>
      </c>
      <c r="Z6" s="80"/>
      <c r="AA6" s="18" t="s">
        <v>8</v>
      </c>
      <c r="AB6" s="1">
        <v>100</v>
      </c>
      <c r="AC6" s="1">
        <v>131</v>
      </c>
      <c r="AD6" s="24" t="s">
        <v>655</v>
      </c>
      <c r="AF6" s="81"/>
      <c r="AG6" s="30" t="s">
        <v>5</v>
      </c>
      <c r="AH6" s="26">
        <v>101</v>
      </c>
      <c r="AI6" s="26">
        <v>132</v>
      </c>
      <c r="AJ6" s="27" t="s">
        <v>685</v>
      </c>
      <c r="AL6" s="80"/>
      <c r="AM6" s="18" t="s">
        <v>8</v>
      </c>
      <c r="AN6" s="1">
        <v>101</v>
      </c>
      <c r="AO6" s="1">
        <v>132</v>
      </c>
      <c r="AP6" s="24" t="s">
        <v>865</v>
      </c>
    </row>
    <row r="7" spans="1:42" x14ac:dyDescent="0.4">
      <c r="B7" s="80"/>
      <c r="C7" s="18" t="s">
        <v>9</v>
      </c>
      <c r="D7" s="1">
        <v>132</v>
      </c>
      <c r="E7" s="1">
        <v>163</v>
      </c>
      <c r="F7" s="24" t="s">
        <v>516</v>
      </c>
      <c r="H7" s="80"/>
      <c r="I7" s="18" t="s">
        <v>9</v>
      </c>
      <c r="J7" s="1">
        <v>132</v>
      </c>
      <c r="K7" s="1">
        <v>163</v>
      </c>
      <c r="L7" s="24" t="s">
        <v>551</v>
      </c>
      <c r="N7" s="80"/>
      <c r="O7" s="18" t="s">
        <v>9</v>
      </c>
      <c r="P7" s="1">
        <v>132</v>
      </c>
      <c r="Q7" s="1">
        <v>163</v>
      </c>
      <c r="R7" s="24" t="s">
        <v>586</v>
      </c>
      <c r="T7" s="80"/>
      <c r="U7" s="18" t="s">
        <v>9</v>
      </c>
      <c r="V7" s="1">
        <v>132</v>
      </c>
      <c r="W7" s="1">
        <v>163</v>
      </c>
      <c r="X7" s="24" t="s">
        <v>621</v>
      </c>
      <c r="Z7" s="80"/>
      <c r="AA7" s="18" t="s">
        <v>9</v>
      </c>
      <c r="AB7" s="1">
        <v>132</v>
      </c>
      <c r="AC7" s="1">
        <v>163</v>
      </c>
      <c r="AD7" s="24" t="s">
        <v>656</v>
      </c>
      <c r="AL7" s="80"/>
      <c r="AM7" s="18" t="s">
        <v>9</v>
      </c>
      <c r="AN7" s="1">
        <v>133</v>
      </c>
      <c r="AO7" s="1">
        <v>164</v>
      </c>
      <c r="AP7" s="24" t="s">
        <v>866</v>
      </c>
    </row>
    <row r="8" spans="1:42" x14ac:dyDescent="0.4">
      <c r="B8" s="80"/>
      <c r="C8" s="38" t="s">
        <v>14</v>
      </c>
      <c r="D8" s="1">
        <v>164</v>
      </c>
      <c r="E8" s="1">
        <v>195</v>
      </c>
      <c r="F8" s="24" t="s">
        <v>517</v>
      </c>
      <c r="G8" s="2"/>
      <c r="H8" s="80"/>
      <c r="I8" s="18" t="s">
        <v>14</v>
      </c>
      <c r="J8" s="1">
        <v>164</v>
      </c>
      <c r="K8" s="1">
        <v>195</v>
      </c>
      <c r="L8" s="24" t="s">
        <v>552</v>
      </c>
      <c r="M8" s="2"/>
      <c r="N8" s="80"/>
      <c r="O8" s="18" t="s">
        <v>14</v>
      </c>
      <c r="P8" s="1">
        <v>164</v>
      </c>
      <c r="Q8" s="1">
        <v>195</v>
      </c>
      <c r="R8" s="24" t="s">
        <v>587</v>
      </c>
      <c r="S8" s="2"/>
      <c r="T8" s="80"/>
      <c r="U8" s="18" t="s">
        <v>14</v>
      </c>
      <c r="V8" s="1">
        <v>164</v>
      </c>
      <c r="W8" s="1">
        <v>195</v>
      </c>
      <c r="X8" s="24" t="s">
        <v>622</v>
      </c>
      <c r="Y8" s="2"/>
      <c r="Z8" s="80"/>
      <c r="AA8" s="18" t="s">
        <v>14</v>
      </c>
      <c r="AB8" s="1">
        <v>164</v>
      </c>
      <c r="AC8" s="1">
        <v>195</v>
      </c>
      <c r="AD8" s="24" t="s">
        <v>657</v>
      </c>
      <c r="AE8" s="2"/>
      <c r="AK8" s="2"/>
      <c r="AL8" s="80"/>
      <c r="AM8" s="18" t="s">
        <v>14</v>
      </c>
      <c r="AN8" s="1">
        <v>165</v>
      </c>
      <c r="AO8" s="1">
        <v>196</v>
      </c>
      <c r="AP8" s="24" t="s">
        <v>867</v>
      </c>
    </row>
    <row r="9" spans="1:42" x14ac:dyDescent="0.4">
      <c r="B9" s="80"/>
      <c r="C9" s="38" t="s">
        <v>15</v>
      </c>
      <c r="D9" s="1">
        <v>196</v>
      </c>
      <c r="E9" s="1">
        <v>227</v>
      </c>
      <c r="F9" s="24" t="s">
        <v>518</v>
      </c>
      <c r="H9" s="80"/>
      <c r="I9" s="18" t="s">
        <v>15</v>
      </c>
      <c r="J9" s="1">
        <v>196</v>
      </c>
      <c r="K9" s="1">
        <v>227</v>
      </c>
      <c r="L9" s="24" t="s">
        <v>553</v>
      </c>
      <c r="N9" s="80"/>
      <c r="O9" s="18" t="s">
        <v>15</v>
      </c>
      <c r="P9" s="1">
        <v>196</v>
      </c>
      <c r="Q9" s="1">
        <v>227</v>
      </c>
      <c r="R9" s="24" t="s">
        <v>588</v>
      </c>
      <c r="T9" s="80"/>
      <c r="U9" s="18" t="s">
        <v>15</v>
      </c>
      <c r="V9" s="1">
        <v>196</v>
      </c>
      <c r="W9" s="1">
        <v>227</v>
      </c>
      <c r="X9" s="24" t="s">
        <v>623</v>
      </c>
      <c r="Z9" s="80"/>
      <c r="AA9" s="18" t="s">
        <v>15</v>
      </c>
      <c r="AB9" s="1">
        <v>196</v>
      </c>
      <c r="AC9" s="1">
        <v>227</v>
      </c>
      <c r="AD9" s="24" t="s">
        <v>658</v>
      </c>
      <c r="AL9" s="80"/>
      <c r="AM9" s="18" t="s">
        <v>15</v>
      </c>
      <c r="AN9" s="1">
        <v>197</v>
      </c>
      <c r="AO9" s="1">
        <v>228</v>
      </c>
      <c r="AP9" s="24" t="s">
        <v>868</v>
      </c>
    </row>
    <row r="10" spans="1:42" ht="18" customHeight="1" x14ac:dyDescent="0.4">
      <c r="B10" s="80"/>
      <c r="C10" s="39" t="s">
        <v>4</v>
      </c>
      <c r="D10" s="35">
        <v>228</v>
      </c>
      <c r="E10" s="35">
        <v>259</v>
      </c>
      <c r="F10" s="36" t="s">
        <v>511</v>
      </c>
      <c r="H10" s="80"/>
      <c r="I10" s="18" t="s">
        <v>4</v>
      </c>
      <c r="J10" s="1">
        <v>228</v>
      </c>
      <c r="K10" s="1">
        <v>259</v>
      </c>
      <c r="L10" s="24" t="s">
        <v>546</v>
      </c>
      <c r="N10" s="80"/>
      <c r="O10" s="18" t="s">
        <v>4</v>
      </c>
      <c r="P10" s="1">
        <v>228</v>
      </c>
      <c r="Q10" s="1">
        <v>259</v>
      </c>
      <c r="R10" s="24" t="s">
        <v>581</v>
      </c>
      <c r="T10" s="80"/>
      <c r="U10" s="18" t="s">
        <v>4</v>
      </c>
      <c r="V10" s="1">
        <v>228</v>
      </c>
      <c r="W10" s="1">
        <v>259</v>
      </c>
      <c r="X10" s="24" t="s">
        <v>616</v>
      </c>
      <c r="Z10" s="80"/>
      <c r="AA10" s="18" t="s">
        <v>4</v>
      </c>
      <c r="AB10" s="1">
        <v>228</v>
      </c>
      <c r="AC10" s="1">
        <v>259</v>
      </c>
      <c r="AD10" s="24" t="s">
        <v>651</v>
      </c>
      <c r="AL10" s="80"/>
      <c r="AM10" s="18" t="s">
        <v>4</v>
      </c>
      <c r="AN10" s="1">
        <v>229</v>
      </c>
      <c r="AO10" s="1">
        <v>260</v>
      </c>
      <c r="AP10" s="24" t="s">
        <v>869</v>
      </c>
    </row>
    <row r="11" spans="1:42" ht="19.5" customHeight="1" thickBot="1" x14ac:dyDescent="0.45">
      <c r="B11" s="81"/>
      <c r="C11" s="18" t="s">
        <v>5</v>
      </c>
      <c r="D11" s="1">
        <v>260</v>
      </c>
      <c r="E11" s="1">
        <v>291</v>
      </c>
      <c r="F11" s="24" t="s">
        <v>512</v>
      </c>
      <c r="H11" s="81"/>
      <c r="I11" s="30" t="s">
        <v>5</v>
      </c>
      <c r="J11" s="26">
        <v>260</v>
      </c>
      <c r="K11" s="26">
        <v>291</v>
      </c>
      <c r="L11" s="27" t="s">
        <v>547</v>
      </c>
      <c r="N11" s="81"/>
      <c r="O11" s="30" t="s">
        <v>5</v>
      </c>
      <c r="P11" s="26">
        <v>260</v>
      </c>
      <c r="Q11" s="26">
        <v>291</v>
      </c>
      <c r="R11" s="27" t="s">
        <v>582</v>
      </c>
      <c r="T11" s="81"/>
      <c r="U11" s="30" t="s">
        <v>5</v>
      </c>
      <c r="V11" s="26">
        <v>260</v>
      </c>
      <c r="W11" s="26">
        <v>291</v>
      </c>
      <c r="X11" s="27" t="s">
        <v>617</v>
      </c>
      <c r="Z11" s="81"/>
      <c r="AA11" s="30" t="s">
        <v>5</v>
      </c>
      <c r="AB11" s="26">
        <v>260</v>
      </c>
      <c r="AC11" s="26">
        <v>291</v>
      </c>
      <c r="AD11" s="27" t="s">
        <v>652</v>
      </c>
      <c r="AL11" s="81"/>
      <c r="AM11" s="30" t="s">
        <v>5</v>
      </c>
      <c r="AN11" s="26">
        <v>261</v>
      </c>
      <c r="AO11" s="26">
        <v>292</v>
      </c>
      <c r="AP11" s="27" t="s">
        <v>870</v>
      </c>
    </row>
    <row r="12" spans="1:42" ht="18.75" customHeight="1" x14ac:dyDescent="0.4">
      <c r="B12" s="75" t="s">
        <v>23</v>
      </c>
      <c r="C12" s="21" t="s">
        <v>24</v>
      </c>
      <c r="D12" s="22">
        <v>292</v>
      </c>
      <c r="E12" s="22">
        <v>321</v>
      </c>
      <c r="F12" s="23" t="s">
        <v>524</v>
      </c>
      <c r="H12" s="75" t="s">
        <v>23</v>
      </c>
      <c r="I12" s="45" t="s">
        <v>24</v>
      </c>
      <c r="J12" s="22">
        <v>292</v>
      </c>
      <c r="K12" s="22">
        <v>321</v>
      </c>
      <c r="L12" s="23" t="s">
        <v>559</v>
      </c>
      <c r="N12" s="75" t="s">
        <v>23</v>
      </c>
      <c r="O12" s="45" t="s">
        <v>24</v>
      </c>
      <c r="P12" s="22">
        <v>292</v>
      </c>
      <c r="Q12" s="22">
        <v>321</v>
      </c>
      <c r="R12" s="23" t="s">
        <v>594</v>
      </c>
      <c r="T12" s="75" t="s">
        <v>23</v>
      </c>
      <c r="U12" s="45" t="s">
        <v>24</v>
      </c>
      <c r="V12" s="22">
        <v>292</v>
      </c>
      <c r="W12" s="22">
        <v>321</v>
      </c>
      <c r="X12" s="23" t="s">
        <v>629</v>
      </c>
      <c r="Z12" s="75" t="s">
        <v>23</v>
      </c>
      <c r="AA12" s="45" t="s">
        <v>24</v>
      </c>
      <c r="AB12" s="22">
        <v>292</v>
      </c>
      <c r="AC12" s="22">
        <v>321</v>
      </c>
      <c r="AD12" s="23" t="s">
        <v>664</v>
      </c>
      <c r="AL12" s="75" t="s">
        <v>23</v>
      </c>
      <c r="AM12" s="45" t="s">
        <v>24</v>
      </c>
      <c r="AN12" s="22">
        <v>293</v>
      </c>
      <c r="AO12" s="22">
        <v>322</v>
      </c>
      <c r="AP12" s="23" t="s">
        <v>871</v>
      </c>
    </row>
    <row r="13" spans="1:42" x14ac:dyDescent="0.4">
      <c r="B13" s="76"/>
      <c r="C13" s="19" t="s">
        <v>25</v>
      </c>
      <c r="D13" s="1">
        <v>322</v>
      </c>
      <c r="E13" s="1">
        <v>351</v>
      </c>
      <c r="F13" s="24" t="s">
        <v>525</v>
      </c>
      <c r="H13" s="76"/>
      <c r="I13" s="43" t="s">
        <v>25</v>
      </c>
      <c r="J13" s="1">
        <v>322</v>
      </c>
      <c r="K13" s="1">
        <v>351</v>
      </c>
      <c r="L13" s="24" t="s">
        <v>560</v>
      </c>
      <c r="N13" s="76"/>
      <c r="O13" s="43" t="s">
        <v>25</v>
      </c>
      <c r="P13" s="1">
        <v>322</v>
      </c>
      <c r="Q13" s="1">
        <v>351</v>
      </c>
      <c r="R13" s="24" t="s">
        <v>595</v>
      </c>
      <c r="T13" s="76"/>
      <c r="U13" s="43" t="s">
        <v>25</v>
      </c>
      <c r="V13" s="1">
        <v>322</v>
      </c>
      <c r="W13" s="1">
        <v>351</v>
      </c>
      <c r="X13" s="24" t="s">
        <v>630</v>
      </c>
      <c r="Z13" s="76"/>
      <c r="AA13" s="43" t="s">
        <v>25</v>
      </c>
      <c r="AB13" s="1">
        <v>322</v>
      </c>
      <c r="AC13" s="1">
        <v>351</v>
      </c>
      <c r="AD13" s="24" t="s">
        <v>665</v>
      </c>
      <c r="AL13" s="76"/>
      <c r="AM13" s="43" t="s">
        <v>25</v>
      </c>
      <c r="AN13" s="1">
        <v>323</v>
      </c>
      <c r="AO13" s="1">
        <v>352</v>
      </c>
      <c r="AP13" s="24" t="s">
        <v>872</v>
      </c>
    </row>
    <row r="14" spans="1:42" x14ac:dyDescent="0.4">
      <c r="B14" s="76"/>
      <c r="C14" s="19" t="s">
        <v>26</v>
      </c>
      <c r="D14" s="1">
        <v>352</v>
      </c>
      <c r="E14" s="1">
        <v>381</v>
      </c>
      <c r="F14" s="24" t="s">
        <v>526</v>
      </c>
      <c r="H14" s="76"/>
      <c r="I14" s="43" t="s">
        <v>26</v>
      </c>
      <c r="J14" s="1">
        <v>352</v>
      </c>
      <c r="K14" s="1">
        <v>381</v>
      </c>
      <c r="L14" s="24" t="s">
        <v>561</v>
      </c>
      <c r="N14" s="76"/>
      <c r="O14" s="43" t="s">
        <v>26</v>
      </c>
      <c r="P14" s="1">
        <v>352</v>
      </c>
      <c r="Q14" s="1">
        <v>381</v>
      </c>
      <c r="R14" s="24" t="s">
        <v>596</v>
      </c>
      <c r="T14" s="76"/>
      <c r="U14" s="43" t="s">
        <v>26</v>
      </c>
      <c r="V14" s="1">
        <v>352</v>
      </c>
      <c r="W14" s="1">
        <v>381</v>
      </c>
      <c r="X14" s="24" t="s">
        <v>631</v>
      </c>
      <c r="Z14" s="76"/>
      <c r="AA14" s="43" t="s">
        <v>26</v>
      </c>
      <c r="AB14" s="1">
        <v>352</v>
      </c>
      <c r="AC14" s="1">
        <v>381</v>
      </c>
      <c r="AD14" s="24" t="s">
        <v>666</v>
      </c>
      <c r="AL14" s="76"/>
      <c r="AM14" s="43" t="s">
        <v>26</v>
      </c>
      <c r="AN14" s="1">
        <v>353</v>
      </c>
      <c r="AO14" s="1">
        <v>382</v>
      </c>
      <c r="AP14" s="24" t="s">
        <v>873</v>
      </c>
    </row>
    <row r="15" spans="1:42" x14ac:dyDescent="0.4">
      <c r="B15" s="76"/>
      <c r="C15" s="19" t="s">
        <v>19</v>
      </c>
      <c r="D15" s="1">
        <v>382</v>
      </c>
      <c r="E15" s="1">
        <v>411</v>
      </c>
      <c r="F15" s="24" t="s">
        <v>527</v>
      </c>
      <c r="H15" s="76"/>
      <c r="I15" s="43" t="s">
        <v>19</v>
      </c>
      <c r="J15" s="1">
        <v>382</v>
      </c>
      <c r="K15" s="1">
        <v>411</v>
      </c>
      <c r="L15" s="24" t="s">
        <v>562</v>
      </c>
      <c r="N15" s="76"/>
      <c r="O15" s="43" t="s">
        <v>19</v>
      </c>
      <c r="P15" s="1">
        <v>382</v>
      </c>
      <c r="Q15" s="1">
        <v>411</v>
      </c>
      <c r="R15" s="24" t="s">
        <v>597</v>
      </c>
      <c r="T15" s="76"/>
      <c r="U15" s="43" t="s">
        <v>19</v>
      </c>
      <c r="V15" s="1">
        <v>382</v>
      </c>
      <c r="W15" s="1">
        <v>411</v>
      </c>
      <c r="X15" s="24" t="s">
        <v>632</v>
      </c>
      <c r="Z15" s="76"/>
      <c r="AA15" s="43" t="s">
        <v>19</v>
      </c>
      <c r="AB15" s="1">
        <v>382</v>
      </c>
      <c r="AC15" s="1">
        <v>411</v>
      </c>
      <c r="AD15" s="24" t="s">
        <v>667</v>
      </c>
      <c r="AL15" s="76"/>
      <c r="AM15" s="43" t="s">
        <v>19</v>
      </c>
      <c r="AN15" s="1">
        <v>383</v>
      </c>
      <c r="AO15" s="1">
        <v>412</v>
      </c>
      <c r="AP15" s="24" t="s">
        <v>874</v>
      </c>
    </row>
    <row r="16" spans="1:42" ht="18" customHeight="1" x14ac:dyDescent="0.4">
      <c r="B16" s="76"/>
      <c r="C16" s="19" t="s">
        <v>18</v>
      </c>
      <c r="D16" s="1">
        <v>412</v>
      </c>
      <c r="E16" s="1">
        <v>441</v>
      </c>
      <c r="F16" s="24" t="s">
        <v>528</v>
      </c>
      <c r="H16" s="76"/>
      <c r="I16" s="43" t="s">
        <v>18</v>
      </c>
      <c r="J16" s="1">
        <v>412</v>
      </c>
      <c r="K16" s="1">
        <v>441</v>
      </c>
      <c r="L16" s="24" t="s">
        <v>563</v>
      </c>
      <c r="N16" s="76"/>
      <c r="O16" s="43" t="s">
        <v>18</v>
      </c>
      <c r="P16" s="1">
        <v>412</v>
      </c>
      <c r="Q16" s="1">
        <v>441</v>
      </c>
      <c r="R16" s="24" t="s">
        <v>598</v>
      </c>
      <c r="T16" s="76"/>
      <c r="U16" s="43" t="s">
        <v>18</v>
      </c>
      <c r="V16" s="1">
        <v>412</v>
      </c>
      <c r="W16" s="1">
        <v>441</v>
      </c>
      <c r="X16" s="24" t="s">
        <v>633</v>
      </c>
      <c r="Z16" s="76"/>
      <c r="AA16" s="43" t="s">
        <v>18</v>
      </c>
      <c r="AB16" s="1">
        <v>412</v>
      </c>
      <c r="AC16" s="1">
        <v>441</v>
      </c>
      <c r="AD16" s="24" t="s">
        <v>668</v>
      </c>
      <c r="AL16" s="76"/>
      <c r="AM16" s="43" t="s">
        <v>18</v>
      </c>
      <c r="AN16" s="1">
        <v>413</v>
      </c>
      <c r="AO16" s="1">
        <v>442</v>
      </c>
      <c r="AP16" s="24" t="s">
        <v>875</v>
      </c>
    </row>
    <row r="17" spans="2:42" ht="19.5" customHeight="1" x14ac:dyDescent="0.4">
      <c r="B17" s="76"/>
      <c r="C17" s="19" t="s">
        <v>27</v>
      </c>
      <c r="D17" s="1">
        <v>442</v>
      </c>
      <c r="E17" s="1">
        <v>471</v>
      </c>
      <c r="F17" s="24" t="s">
        <v>529</v>
      </c>
      <c r="H17" s="76"/>
      <c r="I17" s="41" t="s">
        <v>27</v>
      </c>
      <c r="J17" s="35">
        <v>442</v>
      </c>
      <c r="K17" s="35">
        <v>471</v>
      </c>
      <c r="L17" s="36" t="s">
        <v>564</v>
      </c>
      <c r="N17" s="76"/>
      <c r="O17" s="41" t="s">
        <v>27</v>
      </c>
      <c r="P17" s="35">
        <v>442</v>
      </c>
      <c r="Q17" s="35">
        <v>471</v>
      </c>
      <c r="R17" s="36" t="s">
        <v>599</v>
      </c>
      <c r="T17" s="76"/>
      <c r="U17" s="41" t="s">
        <v>27</v>
      </c>
      <c r="V17" s="35">
        <v>442</v>
      </c>
      <c r="W17" s="35">
        <v>471</v>
      </c>
      <c r="X17" s="36" t="s">
        <v>634</v>
      </c>
      <c r="Z17" s="76"/>
      <c r="AA17" s="41" t="s">
        <v>27</v>
      </c>
      <c r="AB17" s="35">
        <v>442</v>
      </c>
      <c r="AC17" s="35">
        <v>471</v>
      </c>
      <c r="AD17" s="36" t="s">
        <v>669</v>
      </c>
      <c r="AL17" s="76"/>
      <c r="AM17" s="46" t="s">
        <v>27</v>
      </c>
      <c r="AN17" s="35">
        <v>443</v>
      </c>
      <c r="AO17" s="35">
        <v>472</v>
      </c>
      <c r="AP17" s="36" t="s">
        <v>876</v>
      </c>
    </row>
    <row r="18" spans="2:42" ht="18.75" customHeight="1" x14ac:dyDescent="0.4">
      <c r="B18" s="76"/>
      <c r="C18" s="19" t="s">
        <v>28</v>
      </c>
      <c r="D18" s="1">
        <v>472</v>
      </c>
      <c r="E18" s="1">
        <v>501</v>
      </c>
      <c r="F18" s="24" t="s">
        <v>530</v>
      </c>
      <c r="H18" s="76"/>
      <c r="I18" s="19" t="s">
        <v>28</v>
      </c>
      <c r="J18" s="1">
        <v>472</v>
      </c>
      <c r="K18" s="1">
        <v>501</v>
      </c>
      <c r="L18" s="24" t="s">
        <v>565</v>
      </c>
      <c r="N18" s="76"/>
      <c r="O18" s="19" t="s">
        <v>28</v>
      </c>
      <c r="P18" s="1">
        <v>472</v>
      </c>
      <c r="Q18" s="1">
        <v>501</v>
      </c>
      <c r="R18" s="24" t="s">
        <v>600</v>
      </c>
      <c r="T18" s="76"/>
      <c r="U18" s="19" t="s">
        <v>28</v>
      </c>
      <c r="V18" s="1">
        <v>472</v>
      </c>
      <c r="W18" s="1">
        <v>501</v>
      </c>
      <c r="X18" s="24" t="s">
        <v>635</v>
      </c>
      <c r="Z18" s="76"/>
      <c r="AA18" s="19" t="s">
        <v>28</v>
      </c>
      <c r="AB18" s="1">
        <v>472</v>
      </c>
      <c r="AC18" s="1">
        <v>501</v>
      </c>
      <c r="AD18" s="24" t="s">
        <v>670</v>
      </c>
      <c r="AL18" s="76"/>
      <c r="AM18" s="43" t="s">
        <v>28</v>
      </c>
      <c r="AN18" s="1">
        <v>473</v>
      </c>
      <c r="AO18" s="1">
        <v>502</v>
      </c>
      <c r="AP18" s="24" t="s">
        <v>877</v>
      </c>
    </row>
    <row r="19" spans="2:42" ht="18" customHeight="1" x14ac:dyDescent="0.4">
      <c r="B19" s="76"/>
      <c r="C19" s="19" t="s">
        <v>29</v>
      </c>
      <c r="D19" s="1">
        <v>502</v>
      </c>
      <c r="E19" s="1">
        <v>531</v>
      </c>
      <c r="F19" s="24" t="s">
        <v>531</v>
      </c>
      <c r="H19" s="76"/>
      <c r="I19" s="19" t="s">
        <v>29</v>
      </c>
      <c r="J19" s="1">
        <v>502</v>
      </c>
      <c r="K19" s="1">
        <v>531</v>
      </c>
      <c r="L19" s="24" t="s">
        <v>566</v>
      </c>
      <c r="N19" s="76"/>
      <c r="O19" s="19" t="s">
        <v>29</v>
      </c>
      <c r="P19" s="1">
        <v>502</v>
      </c>
      <c r="Q19" s="1">
        <v>531</v>
      </c>
      <c r="R19" s="24" t="s">
        <v>601</v>
      </c>
      <c r="T19" s="76"/>
      <c r="U19" s="19" t="s">
        <v>29</v>
      </c>
      <c r="V19" s="1">
        <v>502</v>
      </c>
      <c r="W19" s="1">
        <v>531</v>
      </c>
      <c r="X19" s="24" t="s">
        <v>636</v>
      </c>
      <c r="Z19" s="76"/>
      <c r="AA19" s="19" t="s">
        <v>29</v>
      </c>
      <c r="AB19" s="1">
        <v>502</v>
      </c>
      <c r="AC19" s="1">
        <v>531</v>
      </c>
      <c r="AD19" s="24" t="s">
        <v>671</v>
      </c>
      <c r="AL19" s="76"/>
      <c r="AM19" s="43" t="s">
        <v>29</v>
      </c>
      <c r="AN19" s="1">
        <v>503</v>
      </c>
      <c r="AO19" s="1">
        <v>532</v>
      </c>
      <c r="AP19" s="24" t="s">
        <v>878</v>
      </c>
    </row>
    <row r="20" spans="2:42" x14ac:dyDescent="0.4">
      <c r="B20" s="76"/>
      <c r="C20" s="19" t="s">
        <v>17</v>
      </c>
      <c r="D20" s="1">
        <v>532</v>
      </c>
      <c r="E20" s="1">
        <v>561</v>
      </c>
      <c r="F20" s="24" t="s">
        <v>532</v>
      </c>
      <c r="H20" s="76"/>
      <c r="I20" s="19" t="s">
        <v>17</v>
      </c>
      <c r="J20" s="1">
        <v>532</v>
      </c>
      <c r="K20" s="1">
        <v>561</v>
      </c>
      <c r="L20" s="24" t="s">
        <v>567</v>
      </c>
      <c r="N20" s="76"/>
      <c r="O20" s="19" t="s">
        <v>17</v>
      </c>
      <c r="P20" s="1">
        <v>532</v>
      </c>
      <c r="Q20" s="1">
        <v>561</v>
      </c>
      <c r="R20" s="24" t="s">
        <v>602</v>
      </c>
      <c r="T20" s="76"/>
      <c r="U20" s="19" t="s">
        <v>17</v>
      </c>
      <c r="V20" s="1">
        <v>532</v>
      </c>
      <c r="W20" s="1">
        <v>561</v>
      </c>
      <c r="X20" s="24" t="s">
        <v>637</v>
      </c>
      <c r="Z20" s="76"/>
      <c r="AA20" s="19" t="s">
        <v>17</v>
      </c>
      <c r="AB20" s="1">
        <v>532</v>
      </c>
      <c r="AC20" s="1">
        <v>561</v>
      </c>
      <c r="AD20" s="24" t="s">
        <v>672</v>
      </c>
      <c r="AL20" s="76"/>
      <c r="AM20" s="43" t="s">
        <v>17</v>
      </c>
      <c r="AN20" s="1">
        <v>533</v>
      </c>
      <c r="AO20" s="1">
        <v>562</v>
      </c>
      <c r="AP20" s="24" t="s">
        <v>879</v>
      </c>
    </row>
    <row r="21" spans="2:42" x14ac:dyDescent="0.4">
      <c r="B21" s="76"/>
      <c r="C21" s="19" t="s">
        <v>20</v>
      </c>
      <c r="D21" s="1">
        <v>562</v>
      </c>
      <c r="E21" s="1">
        <v>591</v>
      </c>
      <c r="F21" s="24" t="s">
        <v>533</v>
      </c>
      <c r="H21" s="76"/>
      <c r="I21" s="19" t="s">
        <v>20</v>
      </c>
      <c r="J21" s="1">
        <v>562</v>
      </c>
      <c r="K21" s="1">
        <v>591</v>
      </c>
      <c r="L21" s="24" t="s">
        <v>568</v>
      </c>
      <c r="N21" s="76"/>
      <c r="O21" s="19" t="s">
        <v>20</v>
      </c>
      <c r="P21" s="1">
        <v>562</v>
      </c>
      <c r="Q21" s="1">
        <v>591</v>
      </c>
      <c r="R21" s="24" t="s">
        <v>603</v>
      </c>
      <c r="T21" s="76"/>
      <c r="U21" s="19" t="s">
        <v>20</v>
      </c>
      <c r="V21" s="1">
        <v>562</v>
      </c>
      <c r="W21" s="1">
        <v>591</v>
      </c>
      <c r="X21" s="24" t="s">
        <v>638</v>
      </c>
      <c r="Z21" s="76"/>
      <c r="AA21" s="19" t="s">
        <v>20</v>
      </c>
      <c r="AB21" s="1">
        <v>562</v>
      </c>
      <c r="AC21" s="1">
        <v>591</v>
      </c>
      <c r="AD21" s="24" t="s">
        <v>673</v>
      </c>
      <c r="AL21" s="76"/>
      <c r="AM21" s="43" t="s">
        <v>20</v>
      </c>
      <c r="AN21" s="1">
        <v>563</v>
      </c>
      <c r="AO21" s="1">
        <v>592</v>
      </c>
      <c r="AP21" s="24" t="s">
        <v>880</v>
      </c>
    </row>
    <row r="22" spans="2:42" ht="18" customHeight="1" x14ac:dyDescent="0.4">
      <c r="B22" s="76"/>
      <c r="C22" s="19" t="s">
        <v>21</v>
      </c>
      <c r="D22" s="1">
        <v>592</v>
      </c>
      <c r="E22" s="1">
        <v>621</v>
      </c>
      <c r="F22" s="24" t="s">
        <v>534</v>
      </c>
      <c r="H22" s="76"/>
      <c r="I22" s="19" t="s">
        <v>21</v>
      </c>
      <c r="J22" s="1">
        <v>592</v>
      </c>
      <c r="K22" s="1">
        <v>621</v>
      </c>
      <c r="L22" s="24" t="s">
        <v>569</v>
      </c>
      <c r="N22" s="76"/>
      <c r="O22" s="19" t="s">
        <v>21</v>
      </c>
      <c r="P22" s="1">
        <v>592</v>
      </c>
      <c r="Q22" s="1">
        <v>621</v>
      </c>
      <c r="R22" s="24" t="s">
        <v>604</v>
      </c>
      <c r="T22" s="76"/>
      <c r="U22" s="19" t="s">
        <v>21</v>
      </c>
      <c r="V22" s="1">
        <v>592</v>
      </c>
      <c r="W22" s="1">
        <v>621</v>
      </c>
      <c r="X22" s="24" t="s">
        <v>639</v>
      </c>
      <c r="Z22" s="76"/>
      <c r="AA22" s="19" t="s">
        <v>21</v>
      </c>
      <c r="AB22" s="1">
        <v>592</v>
      </c>
      <c r="AC22" s="1">
        <v>621</v>
      </c>
      <c r="AD22" s="24" t="s">
        <v>674</v>
      </c>
      <c r="AL22" s="76"/>
      <c r="AM22" s="43" t="s">
        <v>21</v>
      </c>
      <c r="AN22" s="1">
        <v>593</v>
      </c>
      <c r="AO22" s="1">
        <v>622</v>
      </c>
      <c r="AP22" s="24" t="s">
        <v>881</v>
      </c>
    </row>
    <row r="23" spans="2:42" ht="19.5" customHeight="1" thickBot="1" x14ac:dyDescent="0.45">
      <c r="B23" s="77"/>
      <c r="C23" s="25" t="s">
        <v>30</v>
      </c>
      <c r="D23" s="26">
        <v>622</v>
      </c>
      <c r="E23" s="26">
        <v>651</v>
      </c>
      <c r="F23" s="27" t="s">
        <v>535</v>
      </c>
      <c r="H23" s="77"/>
      <c r="I23" s="40" t="s">
        <v>30</v>
      </c>
      <c r="J23" s="26">
        <v>622</v>
      </c>
      <c r="K23" s="26">
        <v>651</v>
      </c>
      <c r="L23" s="27" t="s">
        <v>570</v>
      </c>
      <c r="N23" s="77"/>
      <c r="O23" s="40" t="s">
        <v>30</v>
      </c>
      <c r="P23" s="26">
        <v>622</v>
      </c>
      <c r="Q23" s="26">
        <v>651</v>
      </c>
      <c r="R23" s="27" t="s">
        <v>605</v>
      </c>
      <c r="T23" s="77"/>
      <c r="U23" s="40" t="s">
        <v>30</v>
      </c>
      <c r="V23" s="26">
        <v>622</v>
      </c>
      <c r="W23" s="26">
        <v>651</v>
      </c>
      <c r="X23" s="27" t="s">
        <v>640</v>
      </c>
      <c r="Z23" s="77"/>
      <c r="AA23" s="40" t="s">
        <v>30</v>
      </c>
      <c r="AB23" s="26">
        <v>622</v>
      </c>
      <c r="AC23" s="26">
        <v>651</v>
      </c>
      <c r="AD23" s="27" t="s">
        <v>675</v>
      </c>
      <c r="AL23" s="77"/>
      <c r="AM23" s="40" t="s">
        <v>30</v>
      </c>
      <c r="AN23" s="26">
        <v>623</v>
      </c>
      <c r="AO23" s="26">
        <v>652</v>
      </c>
      <c r="AP23" s="27" t="s">
        <v>882</v>
      </c>
    </row>
    <row r="24" spans="2:42" ht="18" customHeight="1" x14ac:dyDescent="0.4">
      <c r="B24" s="75" t="s">
        <v>31</v>
      </c>
      <c r="C24" s="29" t="s">
        <v>24</v>
      </c>
      <c r="D24" s="22">
        <v>652</v>
      </c>
      <c r="E24" s="22">
        <v>681</v>
      </c>
      <c r="F24" s="23" t="s">
        <v>536</v>
      </c>
      <c r="H24" s="75" t="s">
        <v>31</v>
      </c>
      <c r="I24" s="42" t="s">
        <v>24</v>
      </c>
      <c r="J24" s="22">
        <v>652</v>
      </c>
      <c r="K24" s="22">
        <v>681</v>
      </c>
      <c r="L24" s="23" t="s">
        <v>571</v>
      </c>
      <c r="N24" s="75" t="s">
        <v>31</v>
      </c>
      <c r="O24" s="42" t="s">
        <v>24</v>
      </c>
      <c r="P24" s="22">
        <v>652</v>
      </c>
      <c r="Q24" s="22">
        <v>681</v>
      </c>
      <c r="R24" s="23" t="s">
        <v>606</v>
      </c>
      <c r="T24" s="75" t="s">
        <v>31</v>
      </c>
      <c r="U24" s="42" t="s">
        <v>24</v>
      </c>
      <c r="V24" s="22">
        <v>652</v>
      </c>
      <c r="W24" s="22">
        <v>681</v>
      </c>
      <c r="X24" s="23" t="s">
        <v>641</v>
      </c>
      <c r="Z24" s="75" t="s">
        <v>31</v>
      </c>
      <c r="AA24" s="42" t="s">
        <v>24</v>
      </c>
      <c r="AB24" s="22">
        <v>652</v>
      </c>
      <c r="AC24" s="22">
        <v>681</v>
      </c>
      <c r="AD24" s="23" t="s">
        <v>676</v>
      </c>
      <c r="AL24" s="75" t="s">
        <v>31</v>
      </c>
      <c r="AM24" s="37" t="s">
        <v>24</v>
      </c>
      <c r="AN24" s="35">
        <v>653</v>
      </c>
      <c r="AO24" s="35">
        <v>682</v>
      </c>
      <c r="AP24" s="36" t="s">
        <v>883</v>
      </c>
    </row>
    <row r="25" spans="2:42" x14ac:dyDescent="0.4">
      <c r="B25" s="76"/>
      <c r="C25" s="18" t="s">
        <v>25</v>
      </c>
      <c r="D25" s="1">
        <v>682</v>
      </c>
      <c r="E25" s="1">
        <v>711</v>
      </c>
      <c r="F25" s="24" t="s">
        <v>537</v>
      </c>
      <c r="H25" s="76"/>
      <c r="I25" s="38" t="s">
        <v>25</v>
      </c>
      <c r="J25" s="1">
        <v>682</v>
      </c>
      <c r="K25" s="1">
        <v>711</v>
      </c>
      <c r="L25" s="24" t="s">
        <v>572</v>
      </c>
      <c r="N25" s="76"/>
      <c r="O25" s="38" t="s">
        <v>25</v>
      </c>
      <c r="P25" s="1">
        <v>682</v>
      </c>
      <c r="Q25" s="1">
        <v>711</v>
      </c>
      <c r="R25" s="24" t="s">
        <v>607</v>
      </c>
      <c r="T25" s="76"/>
      <c r="U25" s="38" t="s">
        <v>25</v>
      </c>
      <c r="V25" s="1">
        <v>682</v>
      </c>
      <c r="W25" s="1">
        <v>711</v>
      </c>
      <c r="X25" s="24" t="s">
        <v>642</v>
      </c>
      <c r="Z25" s="76"/>
      <c r="AA25" s="38" t="s">
        <v>25</v>
      </c>
      <c r="AB25" s="1">
        <v>682</v>
      </c>
      <c r="AC25" s="1">
        <v>711</v>
      </c>
      <c r="AD25" s="24" t="s">
        <v>677</v>
      </c>
      <c r="AL25" s="76"/>
      <c r="AM25" s="38" t="s">
        <v>25</v>
      </c>
      <c r="AN25" s="1">
        <v>683</v>
      </c>
      <c r="AO25" s="1">
        <v>712</v>
      </c>
      <c r="AP25" s="24" t="s">
        <v>884</v>
      </c>
    </row>
    <row r="26" spans="2:42" x14ac:dyDescent="0.4">
      <c r="B26" s="76"/>
      <c r="C26" s="18" t="s">
        <v>26</v>
      </c>
      <c r="D26" s="1">
        <v>712</v>
      </c>
      <c r="E26" s="1">
        <v>741</v>
      </c>
      <c r="F26" s="24" t="s">
        <v>538</v>
      </c>
      <c r="H26" s="76"/>
      <c r="I26" s="38" t="s">
        <v>26</v>
      </c>
      <c r="J26" s="1">
        <v>712</v>
      </c>
      <c r="K26" s="1">
        <v>741</v>
      </c>
      <c r="L26" s="24" t="s">
        <v>573</v>
      </c>
      <c r="N26" s="76"/>
      <c r="O26" s="38" t="s">
        <v>26</v>
      </c>
      <c r="P26" s="1">
        <v>712</v>
      </c>
      <c r="Q26" s="1">
        <v>741</v>
      </c>
      <c r="R26" s="24" t="s">
        <v>608</v>
      </c>
      <c r="T26" s="76"/>
      <c r="U26" s="38" t="s">
        <v>26</v>
      </c>
      <c r="V26" s="1">
        <v>712</v>
      </c>
      <c r="W26" s="1">
        <v>741</v>
      </c>
      <c r="X26" s="24" t="s">
        <v>643</v>
      </c>
      <c r="Z26" s="76"/>
      <c r="AA26" s="38" t="s">
        <v>26</v>
      </c>
      <c r="AB26" s="1">
        <v>712</v>
      </c>
      <c r="AC26" s="1">
        <v>741</v>
      </c>
      <c r="AD26" s="24" t="s">
        <v>678</v>
      </c>
      <c r="AL26" s="76"/>
      <c r="AM26" s="38" t="s">
        <v>26</v>
      </c>
      <c r="AN26" s="1">
        <v>713</v>
      </c>
      <c r="AO26" s="1">
        <v>742</v>
      </c>
      <c r="AP26" s="24" t="s">
        <v>885</v>
      </c>
    </row>
    <row r="27" spans="2:42" x14ac:dyDescent="0.4">
      <c r="B27" s="76"/>
      <c r="C27" s="19" t="s">
        <v>19</v>
      </c>
      <c r="D27" s="1">
        <v>742</v>
      </c>
      <c r="E27" s="1">
        <v>771</v>
      </c>
      <c r="F27" s="24" t="s">
        <v>539</v>
      </c>
      <c r="H27" s="76"/>
      <c r="I27" s="43" t="s">
        <v>19</v>
      </c>
      <c r="J27" s="1">
        <v>742</v>
      </c>
      <c r="K27" s="1">
        <v>771</v>
      </c>
      <c r="L27" s="24" t="s">
        <v>574</v>
      </c>
      <c r="N27" s="76"/>
      <c r="O27" s="43" t="s">
        <v>19</v>
      </c>
      <c r="P27" s="1">
        <v>742</v>
      </c>
      <c r="Q27" s="1">
        <v>771</v>
      </c>
      <c r="R27" s="24" t="s">
        <v>609</v>
      </c>
      <c r="T27" s="76"/>
      <c r="U27" s="43" t="s">
        <v>19</v>
      </c>
      <c r="V27" s="1">
        <v>742</v>
      </c>
      <c r="W27" s="1">
        <v>771</v>
      </c>
      <c r="X27" s="24" t="s">
        <v>644</v>
      </c>
      <c r="Z27" s="76"/>
      <c r="AA27" s="43" t="s">
        <v>19</v>
      </c>
      <c r="AB27" s="1">
        <v>742</v>
      </c>
      <c r="AC27" s="1">
        <v>771</v>
      </c>
      <c r="AD27" s="24" t="s">
        <v>679</v>
      </c>
      <c r="AL27" s="76"/>
      <c r="AM27" s="43" t="s">
        <v>19</v>
      </c>
      <c r="AN27" s="1">
        <v>743</v>
      </c>
      <c r="AO27" s="1">
        <v>772</v>
      </c>
      <c r="AP27" s="24" t="s">
        <v>886</v>
      </c>
    </row>
    <row r="28" spans="2:42" ht="18" customHeight="1" x14ac:dyDescent="0.4">
      <c r="B28" s="76"/>
      <c r="C28" s="20" t="s">
        <v>18</v>
      </c>
      <c r="D28" s="1">
        <v>772</v>
      </c>
      <c r="E28" s="1">
        <v>801</v>
      </c>
      <c r="F28" s="24" t="s">
        <v>540</v>
      </c>
      <c r="H28" s="76"/>
      <c r="I28" s="44" t="s">
        <v>18</v>
      </c>
      <c r="J28" s="1">
        <v>772</v>
      </c>
      <c r="K28" s="1">
        <v>801</v>
      </c>
      <c r="L28" s="24" t="s">
        <v>575</v>
      </c>
      <c r="N28" s="76"/>
      <c r="O28" s="44" t="s">
        <v>18</v>
      </c>
      <c r="P28" s="1">
        <v>772</v>
      </c>
      <c r="Q28" s="1">
        <v>801</v>
      </c>
      <c r="R28" s="24" t="s">
        <v>610</v>
      </c>
      <c r="T28" s="76"/>
      <c r="U28" s="44" t="s">
        <v>18</v>
      </c>
      <c r="V28" s="1">
        <v>772</v>
      </c>
      <c r="W28" s="1">
        <v>801</v>
      </c>
      <c r="X28" s="24" t="s">
        <v>645</v>
      </c>
      <c r="Z28" s="76"/>
      <c r="AA28" s="44" t="s">
        <v>18</v>
      </c>
      <c r="AB28" s="1">
        <v>772</v>
      </c>
      <c r="AC28" s="1">
        <v>801</v>
      </c>
      <c r="AD28" s="24" t="s">
        <v>680</v>
      </c>
      <c r="AL28" s="76"/>
      <c r="AM28" s="44" t="s">
        <v>18</v>
      </c>
      <c r="AN28" s="1">
        <v>773</v>
      </c>
      <c r="AO28" s="1">
        <v>802</v>
      </c>
      <c r="AP28" s="24" t="s">
        <v>887</v>
      </c>
    </row>
    <row r="29" spans="2:42" ht="18" customHeight="1" x14ac:dyDescent="0.4">
      <c r="B29" s="76"/>
      <c r="C29" s="18" t="s">
        <v>27</v>
      </c>
      <c r="D29" s="1">
        <v>802</v>
      </c>
      <c r="E29" s="1">
        <v>831</v>
      </c>
      <c r="F29" s="24" t="s">
        <v>541</v>
      </c>
      <c r="H29" s="76"/>
      <c r="I29" s="37" t="s">
        <v>27</v>
      </c>
      <c r="J29" s="35">
        <v>802</v>
      </c>
      <c r="K29" s="35">
        <v>831</v>
      </c>
      <c r="L29" s="36" t="s">
        <v>576</v>
      </c>
      <c r="N29" s="76"/>
      <c r="O29" s="37" t="s">
        <v>27</v>
      </c>
      <c r="P29" s="35">
        <v>802</v>
      </c>
      <c r="Q29" s="35">
        <v>831</v>
      </c>
      <c r="R29" s="36" t="s">
        <v>611</v>
      </c>
      <c r="T29" s="76"/>
      <c r="U29" s="37" t="s">
        <v>27</v>
      </c>
      <c r="V29" s="35">
        <v>802</v>
      </c>
      <c r="W29" s="35">
        <v>831</v>
      </c>
      <c r="X29" s="36" t="s">
        <v>646</v>
      </c>
      <c r="Z29" s="76"/>
      <c r="AA29" s="37" t="s">
        <v>27</v>
      </c>
      <c r="AB29" s="35">
        <v>802</v>
      </c>
      <c r="AC29" s="35">
        <v>831</v>
      </c>
      <c r="AD29" s="36" t="s">
        <v>681</v>
      </c>
      <c r="AL29" s="76"/>
      <c r="AM29" s="37" t="s">
        <v>27</v>
      </c>
      <c r="AN29" s="35">
        <v>803</v>
      </c>
      <c r="AO29" s="35">
        <v>832</v>
      </c>
      <c r="AP29" s="36" t="s">
        <v>888</v>
      </c>
    </row>
    <row r="30" spans="2:42" x14ac:dyDescent="0.4">
      <c r="B30" s="76"/>
      <c r="C30" s="18" t="s">
        <v>28</v>
      </c>
      <c r="D30" s="1">
        <v>832</v>
      </c>
      <c r="E30" s="1">
        <v>861</v>
      </c>
      <c r="F30" s="24" t="s">
        <v>542</v>
      </c>
      <c r="H30" s="76"/>
      <c r="I30" s="38" t="s">
        <v>28</v>
      </c>
      <c r="J30" s="1">
        <v>832</v>
      </c>
      <c r="K30" s="1">
        <v>861</v>
      </c>
      <c r="L30" s="24" t="s">
        <v>577</v>
      </c>
      <c r="N30" s="76"/>
      <c r="O30" s="38" t="s">
        <v>28</v>
      </c>
      <c r="P30" s="1">
        <v>832</v>
      </c>
      <c r="Q30" s="1">
        <v>861</v>
      </c>
      <c r="R30" s="24" t="s">
        <v>612</v>
      </c>
      <c r="T30" s="76"/>
      <c r="U30" s="38" t="s">
        <v>28</v>
      </c>
      <c r="V30" s="1">
        <v>832</v>
      </c>
      <c r="W30" s="1">
        <v>861</v>
      </c>
      <c r="X30" s="24" t="s">
        <v>647</v>
      </c>
      <c r="Z30" s="76"/>
      <c r="AA30" s="38" t="s">
        <v>28</v>
      </c>
      <c r="AB30" s="1">
        <v>832</v>
      </c>
      <c r="AC30" s="1">
        <v>861</v>
      </c>
      <c r="AD30" s="24" t="s">
        <v>682</v>
      </c>
      <c r="AL30" s="76"/>
      <c r="AM30" s="38" t="s">
        <v>28</v>
      </c>
      <c r="AN30" s="1">
        <v>833</v>
      </c>
      <c r="AO30" s="1">
        <v>862</v>
      </c>
      <c r="AP30" s="24" t="s">
        <v>889</v>
      </c>
    </row>
    <row r="31" spans="2:42" x14ac:dyDescent="0.4">
      <c r="B31" s="76"/>
      <c r="C31" s="18" t="s">
        <v>29</v>
      </c>
      <c r="D31" s="1">
        <v>862</v>
      </c>
      <c r="E31" s="1">
        <v>891</v>
      </c>
      <c r="F31" s="24" t="s">
        <v>543</v>
      </c>
      <c r="H31" s="76"/>
      <c r="I31" s="38" t="s">
        <v>29</v>
      </c>
      <c r="J31" s="1">
        <v>862</v>
      </c>
      <c r="K31" s="1">
        <v>891</v>
      </c>
      <c r="L31" s="24" t="s">
        <v>578</v>
      </c>
      <c r="N31" s="76"/>
      <c r="O31" s="38" t="s">
        <v>29</v>
      </c>
      <c r="P31" s="1">
        <v>862</v>
      </c>
      <c r="Q31" s="1">
        <v>891</v>
      </c>
      <c r="R31" s="24" t="s">
        <v>613</v>
      </c>
      <c r="T31" s="76"/>
      <c r="U31" s="38" t="s">
        <v>29</v>
      </c>
      <c r="V31" s="1">
        <v>862</v>
      </c>
      <c r="W31" s="1">
        <v>891</v>
      </c>
      <c r="X31" s="24" t="s">
        <v>648</v>
      </c>
      <c r="Z31" s="76"/>
      <c r="AA31" s="38" t="s">
        <v>29</v>
      </c>
      <c r="AB31" s="1">
        <v>862</v>
      </c>
      <c r="AC31" s="1">
        <v>891</v>
      </c>
      <c r="AD31" s="24" t="s">
        <v>683</v>
      </c>
      <c r="AL31" s="76"/>
      <c r="AM31" s="38" t="s">
        <v>29</v>
      </c>
      <c r="AN31" s="1">
        <v>863</v>
      </c>
      <c r="AO31" s="1">
        <v>892</v>
      </c>
      <c r="AP31" s="24" t="s">
        <v>890</v>
      </c>
    </row>
    <row r="32" spans="2:42" ht="19.5" thickBot="1" x14ac:dyDescent="0.45">
      <c r="B32" s="77"/>
      <c r="C32" s="25" t="s">
        <v>17</v>
      </c>
      <c r="D32" s="26">
        <v>892</v>
      </c>
      <c r="E32" s="26">
        <v>921</v>
      </c>
      <c r="F32" s="27" t="s">
        <v>544</v>
      </c>
      <c r="H32" s="77"/>
      <c r="I32" s="40" t="s">
        <v>17</v>
      </c>
      <c r="J32" s="26">
        <v>892</v>
      </c>
      <c r="K32" s="26">
        <v>921</v>
      </c>
      <c r="L32" s="27" t="s">
        <v>579</v>
      </c>
      <c r="N32" s="77"/>
      <c r="O32" s="40" t="s">
        <v>17</v>
      </c>
      <c r="P32" s="26">
        <v>892</v>
      </c>
      <c r="Q32" s="26">
        <v>921</v>
      </c>
      <c r="R32" s="27" t="s">
        <v>614</v>
      </c>
      <c r="T32" s="77"/>
      <c r="U32" s="40" t="s">
        <v>17</v>
      </c>
      <c r="V32" s="26">
        <v>892</v>
      </c>
      <c r="W32" s="26">
        <v>921</v>
      </c>
      <c r="X32" s="27" t="s">
        <v>649</v>
      </c>
      <c r="Z32" s="77"/>
      <c r="AA32" s="40" t="s">
        <v>17</v>
      </c>
      <c r="AB32" s="26">
        <v>892</v>
      </c>
      <c r="AC32" s="26">
        <v>921</v>
      </c>
      <c r="AD32" s="27" t="s">
        <v>684</v>
      </c>
      <c r="AL32" s="77"/>
      <c r="AM32" s="40" t="s">
        <v>17</v>
      </c>
      <c r="AN32" s="26">
        <v>893</v>
      </c>
      <c r="AO32" s="26">
        <v>922</v>
      </c>
      <c r="AP32" s="27" t="s">
        <v>891</v>
      </c>
    </row>
    <row r="33" spans="1:42" x14ac:dyDescent="0.4">
      <c r="B33" s="79" t="s">
        <v>22</v>
      </c>
      <c r="C33" s="21" t="s">
        <v>17</v>
      </c>
      <c r="D33" s="22">
        <v>922</v>
      </c>
      <c r="E33" s="22">
        <v>953</v>
      </c>
      <c r="F33" s="23" t="s">
        <v>519</v>
      </c>
      <c r="H33" s="79" t="s">
        <v>22</v>
      </c>
      <c r="I33" s="41" t="s">
        <v>17</v>
      </c>
      <c r="J33" s="35">
        <v>922</v>
      </c>
      <c r="K33" s="35">
        <v>953</v>
      </c>
      <c r="L33" s="36" t="s">
        <v>554</v>
      </c>
      <c r="N33" s="79" t="s">
        <v>22</v>
      </c>
      <c r="O33" s="41" t="s">
        <v>17</v>
      </c>
      <c r="P33" s="35">
        <v>922</v>
      </c>
      <c r="Q33" s="35">
        <v>953</v>
      </c>
      <c r="R33" s="36" t="s">
        <v>589</v>
      </c>
      <c r="T33" s="79" t="s">
        <v>22</v>
      </c>
      <c r="U33" s="41" t="s">
        <v>17</v>
      </c>
      <c r="V33" s="35">
        <v>922</v>
      </c>
      <c r="W33" s="35">
        <v>953</v>
      </c>
      <c r="X33" s="36" t="s">
        <v>624</v>
      </c>
      <c r="Z33" s="79" t="s">
        <v>22</v>
      </c>
      <c r="AA33" s="41" t="s">
        <v>17</v>
      </c>
      <c r="AB33" s="35">
        <v>922</v>
      </c>
      <c r="AC33" s="35">
        <v>953</v>
      </c>
      <c r="AD33" s="36" t="s">
        <v>659</v>
      </c>
      <c r="AL33" s="79" t="s">
        <v>22</v>
      </c>
      <c r="AM33" s="41" t="s">
        <v>17</v>
      </c>
      <c r="AN33" s="35">
        <v>923</v>
      </c>
      <c r="AO33" s="35">
        <v>954</v>
      </c>
      <c r="AP33" s="36" t="s">
        <v>892</v>
      </c>
    </row>
    <row r="34" spans="1:42" ht="18" customHeight="1" x14ac:dyDescent="0.4">
      <c r="B34" s="80"/>
      <c r="C34" s="19" t="s">
        <v>18</v>
      </c>
      <c r="D34" s="1">
        <v>954</v>
      </c>
      <c r="E34" s="1">
        <v>985</v>
      </c>
      <c r="F34" s="24" t="s">
        <v>520</v>
      </c>
      <c r="H34" s="80"/>
      <c r="I34" s="19" t="s">
        <v>18</v>
      </c>
      <c r="J34" s="1">
        <v>954</v>
      </c>
      <c r="K34" s="1">
        <v>985</v>
      </c>
      <c r="L34" s="24" t="s">
        <v>555</v>
      </c>
      <c r="N34" s="80"/>
      <c r="O34" s="19" t="s">
        <v>18</v>
      </c>
      <c r="P34" s="1">
        <v>954</v>
      </c>
      <c r="Q34" s="1">
        <v>985</v>
      </c>
      <c r="R34" s="24" t="s">
        <v>590</v>
      </c>
      <c r="T34" s="80"/>
      <c r="U34" s="19" t="s">
        <v>18</v>
      </c>
      <c r="V34" s="1">
        <v>954</v>
      </c>
      <c r="W34" s="1">
        <v>985</v>
      </c>
      <c r="X34" s="24" t="s">
        <v>625</v>
      </c>
      <c r="Z34" s="80"/>
      <c r="AA34" s="19" t="s">
        <v>18</v>
      </c>
      <c r="AB34" s="1">
        <v>954</v>
      </c>
      <c r="AC34" s="1">
        <v>985</v>
      </c>
      <c r="AD34" s="24" t="s">
        <v>660</v>
      </c>
      <c r="AL34" s="80"/>
      <c r="AM34" s="19" t="s">
        <v>18</v>
      </c>
      <c r="AN34" s="1">
        <v>955</v>
      </c>
      <c r="AO34" s="1">
        <v>986</v>
      </c>
      <c r="AP34" s="24" t="s">
        <v>893</v>
      </c>
    </row>
    <row r="35" spans="1:42" x14ac:dyDescent="0.4">
      <c r="B35" s="80"/>
      <c r="C35" s="19" t="s">
        <v>19</v>
      </c>
      <c r="D35" s="1">
        <v>986</v>
      </c>
      <c r="E35" s="1">
        <v>1017</v>
      </c>
      <c r="F35" s="24" t="s">
        <v>521</v>
      </c>
      <c r="H35" s="80"/>
      <c r="I35" s="19" t="s">
        <v>19</v>
      </c>
      <c r="J35" s="1">
        <v>986</v>
      </c>
      <c r="K35" s="1">
        <v>1017</v>
      </c>
      <c r="L35" s="24" t="s">
        <v>556</v>
      </c>
      <c r="N35" s="80"/>
      <c r="O35" s="19" t="s">
        <v>19</v>
      </c>
      <c r="P35" s="1">
        <v>986</v>
      </c>
      <c r="Q35" s="1">
        <v>1017</v>
      </c>
      <c r="R35" s="24" t="s">
        <v>591</v>
      </c>
      <c r="T35" s="80"/>
      <c r="U35" s="19" t="s">
        <v>19</v>
      </c>
      <c r="V35" s="1">
        <v>986</v>
      </c>
      <c r="W35" s="1">
        <v>1017</v>
      </c>
      <c r="X35" s="24" t="s">
        <v>626</v>
      </c>
      <c r="Z35" s="80"/>
      <c r="AA35" s="19" t="s">
        <v>19</v>
      </c>
      <c r="AB35" s="1">
        <v>986</v>
      </c>
      <c r="AC35" s="1">
        <v>1017</v>
      </c>
      <c r="AD35" s="24" t="s">
        <v>661</v>
      </c>
      <c r="AL35" s="80"/>
      <c r="AM35" s="19" t="s">
        <v>19</v>
      </c>
      <c r="AN35" s="1">
        <v>987</v>
      </c>
      <c r="AO35" s="1">
        <v>1018</v>
      </c>
      <c r="AP35" s="24" t="s">
        <v>894</v>
      </c>
    </row>
    <row r="36" spans="1:42" ht="18" customHeight="1" x14ac:dyDescent="0.4">
      <c r="B36" s="80"/>
      <c r="C36" s="19" t="s">
        <v>20</v>
      </c>
      <c r="D36" s="1">
        <v>1018</v>
      </c>
      <c r="E36" s="1">
        <v>1049</v>
      </c>
      <c r="F36" s="24" t="s">
        <v>522</v>
      </c>
      <c r="H36" s="80"/>
      <c r="I36" s="19" t="s">
        <v>20</v>
      </c>
      <c r="J36" s="1">
        <v>1018</v>
      </c>
      <c r="K36" s="1">
        <v>1049</v>
      </c>
      <c r="L36" s="24" t="s">
        <v>557</v>
      </c>
      <c r="N36" s="80"/>
      <c r="O36" s="19" t="s">
        <v>20</v>
      </c>
      <c r="P36" s="1">
        <v>1018</v>
      </c>
      <c r="Q36" s="1">
        <v>1049</v>
      </c>
      <c r="R36" s="24" t="s">
        <v>592</v>
      </c>
      <c r="T36" s="80"/>
      <c r="U36" s="19" t="s">
        <v>20</v>
      </c>
      <c r="V36" s="1">
        <v>1018</v>
      </c>
      <c r="W36" s="1">
        <v>1049</v>
      </c>
      <c r="X36" s="24" t="s">
        <v>627</v>
      </c>
      <c r="Z36" s="80"/>
      <c r="AA36" s="19" t="s">
        <v>20</v>
      </c>
      <c r="AB36" s="1">
        <v>1018</v>
      </c>
      <c r="AC36" s="1">
        <v>1049</v>
      </c>
      <c r="AD36" s="24" t="s">
        <v>662</v>
      </c>
      <c r="AL36" s="80"/>
      <c r="AM36" s="19" t="s">
        <v>20</v>
      </c>
      <c r="AN36" s="1">
        <v>1019</v>
      </c>
      <c r="AO36" s="1">
        <v>1050</v>
      </c>
      <c r="AP36" s="24" t="s">
        <v>895</v>
      </c>
    </row>
    <row r="37" spans="1:42" ht="19.5" thickBot="1" x14ac:dyDescent="0.45">
      <c r="B37" s="81"/>
      <c r="C37" s="25" t="s">
        <v>21</v>
      </c>
      <c r="D37" s="26">
        <v>1050</v>
      </c>
      <c r="E37" s="26">
        <v>1081</v>
      </c>
      <c r="F37" s="27" t="s">
        <v>523</v>
      </c>
      <c r="H37" s="81"/>
      <c r="I37" s="25" t="s">
        <v>21</v>
      </c>
      <c r="J37" s="26">
        <v>1050</v>
      </c>
      <c r="K37" s="26">
        <v>1081</v>
      </c>
      <c r="L37" s="27" t="s">
        <v>558</v>
      </c>
      <c r="N37" s="81"/>
      <c r="O37" s="25" t="s">
        <v>21</v>
      </c>
      <c r="P37" s="26">
        <v>1050</v>
      </c>
      <c r="Q37" s="26">
        <v>1081</v>
      </c>
      <c r="R37" s="27" t="s">
        <v>593</v>
      </c>
      <c r="T37" s="81"/>
      <c r="U37" s="25" t="s">
        <v>21</v>
      </c>
      <c r="V37" s="26">
        <v>1050</v>
      </c>
      <c r="W37" s="26">
        <v>1081</v>
      </c>
      <c r="X37" s="27" t="s">
        <v>628</v>
      </c>
      <c r="Z37" s="81"/>
      <c r="AA37" s="25" t="s">
        <v>21</v>
      </c>
      <c r="AB37" s="26">
        <v>1050</v>
      </c>
      <c r="AC37" s="26">
        <v>1081</v>
      </c>
      <c r="AD37" s="27" t="s">
        <v>663</v>
      </c>
      <c r="AL37" s="81"/>
      <c r="AM37" s="25" t="s">
        <v>21</v>
      </c>
      <c r="AN37" s="26">
        <v>1051</v>
      </c>
      <c r="AO37" s="26">
        <v>1082</v>
      </c>
      <c r="AP37" s="27" t="s">
        <v>896</v>
      </c>
    </row>
    <row r="39" spans="1:42" ht="18" customHeight="1" thickBot="1" x14ac:dyDescent="0.45">
      <c r="B39" t="s">
        <v>74</v>
      </c>
      <c r="C39" s="1" t="s">
        <v>0</v>
      </c>
      <c r="D39" s="1" t="s">
        <v>1</v>
      </c>
      <c r="E39" s="1" t="s">
        <v>2</v>
      </c>
      <c r="F39" s="1" t="s">
        <v>32</v>
      </c>
      <c r="H39" t="s">
        <v>75</v>
      </c>
      <c r="I39" s="1" t="s">
        <v>0</v>
      </c>
      <c r="J39" s="1" t="s">
        <v>1</v>
      </c>
      <c r="K39" s="1" t="s">
        <v>2</v>
      </c>
      <c r="L39" s="1" t="s">
        <v>32</v>
      </c>
      <c r="N39" t="s">
        <v>76</v>
      </c>
      <c r="O39" s="1" t="s">
        <v>0</v>
      </c>
      <c r="P39" s="1" t="s">
        <v>1</v>
      </c>
      <c r="Q39" s="1" t="s">
        <v>2</v>
      </c>
      <c r="R39" s="1" t="s">
        <v>32</v>
      </c>
      <c r="T39" t="s">
        <v>77</v>
      </c>
      <c r="U39" s="1" t="s">
        <v>0</v>
      </c>
      <c r="V39" s="1" t="s">
        <v>1</v>
      </c>
      <c r="W39" s="1" t="s">
        <v>2</v>
      </c>
      <c r="X39" s="1" t="s">
        <v>32</v>
      </c>
      <c r="Z39" t="s">
        <v>78</v>
      </c>
      <c r="AA39" s="1" t="s">
        <v>0</v>
      </c>
      <c r="AB39" s="1" t="s">
        <v>1</v>
      </c>
      <c r="AC39" s="1" t="s">
        <v>2</v>
      </c>
      <c r="AD39" s="1" t="s">
        <v>32</v>
      </c>
      <c r="AF39" t="s">
        <v>897</v>
      </c>
      <c r="AG39" s="1" t="s">
        <v>0</v>
      </c>
      <c r="AH39" s="1" t="s">
        <v>1</v>
      </c>
      <c r="AI39" s="1" t="s">
        <v>2</v>
      </c>
      <c r="AJ39" s="1" t="s">
        <v>32</v>
      </c>
    </row>
    <row r="40" spans="1:42" ht="19.5" thickBot="1" x14ac:dyDescent="0.45">
      <c r="A40" t="s">
        <v>989</v>
      </c>
      <c r="C40" s="15" t="s">
        <v>3</v>
      </c>
      <c r="D40" s="15">
        <v>5</v>
      </c>
      <c r="E40" s="15">
        <v>35</v>
      </c>
      <c r="F40" s="15" t="s">
        <v>1002</v>
      </c>
      <c r="I40" s="15" t="s">
        <v>3</v>
      </c>
      <c r="J40" s="15">
        <v>5</v>
      </c>
      <c r="K40" s="15">
        <v>35</v>
      </c>
      <c r="L40" s="15" t="s">
        <v>1037</v>
      </c>
      <c r="O40" s="15" t="s">
        <v>3</v>
      </c>
      <c r="P40" s="15">
        <v>5</v>
      </c>
      <c r="Q40" s="15">
        <v>35</v>
      </c>
      <c r="R40" s="15" t="s">
        <v>1072</v>
      </c>
      <c r="U40" s="15" t="s">
        <v>3</v>
      </c>
      <c r="V40" s="15">
        <v>5</v>
      </c>
      <c r="W40" s="15">
        <v>35</v>
      </c>
      <c r="X40" s="15" t="s">
        <v>1107</v>
      </c>
      <c r="AA40" s="15" t="s">
        <v>3</v>
      </c>
      <c r="AB40" s="15">
        <v>5</v>
      </c>
      <c r="AC40" s="15">
        <v>35</v>
      </c>
      <c r="AD40" s="15" t="s">
        <v>1142</v>
      </c>
      <c r="AF40" s="79" t="s">
        <v>16</v>
      </c>
      <c r="AG40" s="18" t="s">
        <v>7</v>
      </c>
      <c r="AH40" s="1">
        <v>5</v>
      </c>
      <c r="AI40" s="1">
        <v>36</v>
      </c>
      <c r="AJ40" s="24" t="s">
        <v>1177</v>
      </c>
    </row>
    <row r="41" spans="1:42" x14ac:dyDescent="0.4">
      <c r="B41" s="79" t="s">
        <v>16</v>
      </c>
      <c r="C41" s="18" t="s">
        <v>6</v>
      </c>
      <c r="D41" s="1">
        <v>36</v>
      </c>
      <c r="E41" s="1">
        <v>67</v>
      </c>
      <c r="F41" s="24" t="s">
        <v>1003</v>
      </c>
      <c r="H41" s="79" t="s">
        <v>16</v>
      </c>
      <c r="I41" s="29" t="s">
        <v>6</v>
      </c>
      <c r="J41" s="22">
        <v>36</v>
      </c>
      <c r="K41" s="22">
        <v>67</v>
      </c>
      <c r="L41" s="23" t="s">
        <v>1038</v>
      </c>
      <c r="N41" s="79" t="s">
        <v>16</v>
      </c>
      <c r="O41" s="29" t="s">
        <v>6</v>
      </c>
      <c r="P41" s="22">
        <v>36</v>
      </c>
      <c r="Q41" s="22">
        <v>67</v>
      </c>
      <c r="R41" s="23" t="s">
        <v>1073</v>
      </c>
      <c r="T41" s="79" t="s">
        <v>16</v>
      </c>
      <c r="U41" s="29" t="s">
        <v>6</v>
      </c>
      <c r="V41" s="22">
        <v>36</v>
      </c>
      <c r="W41" s="22">
        <v>67</v>
      </c>
      <c r="X41" s="23" t="s">
        <v>1108</v>
      </c>
      <c r="Z41" s="79" t="s">
        <v>16</v>
      </c>
      <c r="AA41" s="29" t="s">
        <v>6</v>
      </c>
      <c r="AB41" s="22">
        <v>36</v>
      </c>
      <c r="AC41" s="22">
        <v>67</v>
      </c>
      <c r="AD41" s="23" t="s">
        <v>1143</v>
      </c>
      <c r="AF41" s="80"/>
      <c r="AG41" s="18" t="s">
        <v>9</v>
      </c>
      <c r="AH41" s="1">
        <v>37</v>
      </c>
      <c r="AI41" s="1">
        <v>68</v>
      </c>
      <c r="AJ41" s="24" t="s">
        <v>1178</v>
      </c>
    </row>
    <row r="42" spans="1:42" x14ac:dyDescent="0.4">
      <c r="B42" s="80"/>
      <c r="C42" s="18" t="s">
        <v>7</v>
      </c>
      <c r="D42" s="1">
        <v>68</v>
      </c>
      <c r="E42" s="1">
        <v>99</v>
      </c>
      <c r="F42" s="24" t="s">
        <v>1004</v>
      </c>
      <c r="H42" s="80"/>
      <c r="I42" s="18" t="s">
        <v>7</v>
      </c>
      <c r="J42" s="1">
        <v>68</v>
      </c>
      <c r="K42" s="1">
        <v>99</v>
      </c>
      <c r="L42" s="24" t="s">
        <v>1039</v>
      </c>
      <c r="N42" s="80"/>
      <c r="O42" s="18" t="s">
        <v>7</v>
      </c>
      <c r="P42" s="1">
        <v>68</v>
      </c>
      <c r="Q42" s="1">
        <v>99</v>
      </c>
      <c r="R42" s="24" t="s">
        <v>1074</v>
      </c>
      <c r="T42" s="80"/>
      <c r="U42" s="18" t="s">
        <v>7</v>
      </c>
      <c r="V42" s="1">
        <v>68</v>
      </c>
      <c r="W42" s="1">
        <v>99</v>
      </c>
      <c r="X42" s="24" t="s">
        <v>1109</v>
      </c>
      <c r="Z42" s="80"/>
      <c r="AA42" s="18" t="s">
        <v>7</v>
      </c>
      <c r="AB42" s="1">
        <v>68</v>
      </c>
      <c r="AC42" s="1">
        <v>99</v>
      </c>
      <c r="AD42" s="24" t="s">
        <v>1144</v>
      </c>
      <c r="AF42" s="80"/>
      <c r="AG42" s="18" t="s">
        <v>15</v>
      </c>
      <c r="AH42" s="1">
        <v>69</v>
      </c>
      <c r="AI42" s="1">
        <v>100</v>
      </c>
      <c r="AJ42" s="24" t="s">
        <v>1179</v>
      </c>
    </row>
    <row r="43" spans="1:42" ht="19.5" thickBot="1" x14ac:dyDescent="0.45">
      <c r="B43" s="80"/>
      <c r="C43" s="18" t="s">
        <v>8</v>
      </c>
      <c r="D43" s="1">
        <v>100</v>
      </c>
      <c r="E43" s="1">
        <v>131</v>
      </c>
      <c r="F43" s="24" t="s">
        <v>1005</v>
      </c>
      <c r="H43" s="80"/>
      <c r="I43" s="18" t="s">
        <v>8</v>
      </c>
      <c r="J43" s="1">
        <v>100</v>
      </c>
      <c r="K43" s="1">
        <v>131</v>
      </c>
      <c r="L43" s="24" t="s">
        <v>1040</v>
      </c>
      <c r="N43" s="80"/>
      <c r="O43" s="18" t="s">
        <v>8</v>
      </c>
      <c r="P43" s="1">
        <v>100</v>
      </c>
      <c r="Q43" s="1">
        <v>131</v>
      </c>
      <c r="R43" s="24" t="s">
        <v>1075</v>
      </c>
      <c r="T43" s="80"/>
      <c r="U43" s="18" t="s">
        <v>8</v>
      </c>
      <c r="V43" s="1">
        <v>100</v>
      </c>
      <c r="W43" s="1">
        <v>131</v>
      </c>
      <c r="X43" s="24" t="s">
        <v>1110</v>
      </c>
      <c r="Z43" s="80"/>
      <c r="AA43" s="18" t="s">
        <v>8</v>
      </c>
      <c r="AB43" s="1">
        <v>100</v>
      </c>
      <c r="AC43" s="1">
        <v>131</v>
      </c>
      <c r="AD43" s="24" t="s">
        <v>1145</v>
      </c>
      <c r="AF43" s="81"/>
      <c r="AG43" s="30" t="s">
        <v>5</v>
      </c>
      <c r="AH43" s="26">
        <v>101</v>
      </c>
      <c r="AI43" s="26">
        <v>132</v>
      </c>
      <c r="AJ43" s="27" t="s">
        <v>1180</v>
      </c>
    </row>
    <row r="44" spans="1:42" x14ac:dyDescent="0.4">
      <c r="B44" s="80"/>
      <c r="C44" s="18" t="s">
        <v>9</v>
      </c>
      <c r="D44" s="1">
        <v>132</v>
      </c>
      <c r="E44" s="1">
        <v>163</v>
      </c>
      <c r="F44" s="24" t="s">
        <v>1006</v>
      </c>
      <c r="H44" s="80"/>
      <c r="I44" s="18" t="s">
        <v>9</v>
      </c>
      <c r="J44" s="1">
        <v>132</v>
      </c>
      <c r="K44" s="1">
        <v>163</v>
      </c>
      <c r="L44" s="24" t="s">
        <v>1041</v>
      </c>
      <c r="N44" s="80"/>
      <c r="O44" s="18" t="s">
        <v>9</v>
      </c>
      <c r="P44" s="1">
        <v>132</v>
      </c>
      <c r="Q44" s="1">
        <v>163</v>
      </c>
      <c r="R44" s="24" t="s">
        <v>1076</v>
      </c>
      <c r="T44" s="80"/>
      <c r="U44" s="18" t="s">
        <v>9</v>
      </c>
      <c r="V44" s="1">
        <v>132</v>
      </c>
      <c r="W44" s="1">
        <v>163</v>
      </c>
      <c r="X44" s="24" t="s">
        <v>1111</v>
      </c>
      <c r="Z44" s="80"/>
      <c r="AA44" s="18" t="s">
        <v>9</v>
      </c>
      <c r="AB44" s="1">
        <v>132</v>
      </c>
      <c r="AC44" s="1">
        <v>163</v>
      </c>
      <c r="AD44" s="24" t="s">
        <v>1146</v>
      </c>
    </row>
    <row r="45" spans="1:42" x14ac:dyDescent="0.4">
      <c r="B45" s="80"/>
      <c r="C45" s="38" t="s">
        <v>14</v>
      </c>
      <c r="D45" s="1">
        <v>164</v>
      </c>
      <c r="E45" s="1">
        <v>195</v>
      </c>
      <c r="F45" s="24" t="s">
        <v>1007</v>
      </c>
      <c r="G45" s="2"/>
      <c r="H45" s="80"/>
      <c r="I45" s="18" t="s">
        <v>14</v>
      </c>
      <c r="J45" s="1">
        <v>164</v>
      </c>
      <c r="K45" s="1">
        <v>195</v>
      </c>
      <c r="L45" s="24" t="s">
        <v>1042</v>
      </c>
      <c r="M45" s="2"/>
      <c r="N45" s="80"/>
      <c r="O45" s="18" t="s">
        <v>14</v>
      </c>
      <c r="P45" s="1">
        <v>164</v>
      </c>
      <c r="Q45" s="1">
        <v>195</v>
      </c>
      <c r="R45" s="24" t="s">
        <v>1077</v>
      </c>
      <c r="S45" s="2"/>
      <c r="T45" s="80"/>
      <c r="U45" s="18" t="s">
        <v>14</v>
      </c>
      <c r="V45" s="1">
        <v>164</v>
      </c>
      <c r="W45" s="1">
        <v>195</v>
      </c>
      <c r="X45" s="24" t="s">
        <v>1112</v>
      </c>
      <c r="Y45" s="2"/>
      <c r="Z45" s="80"/>
      <c r="AA45" s="18" t="s">
        <v>14</v>
      </c>
      <c r="AB45" s="1">
        <v>164</v>
      </c>
      <c r="AC45" s="1">
        <v>195</v>
      </c>
      <c r="AD45" s="24" t="s">
        <v>1147</v>
      </c>
      <c r="AE45" s="2"/>
      <c r="AK45" s="2"/>
    </row>
    <row r="46" spans="1:42" x14ac:dyDescent="0.4">
      <c r="B46" s="80"/>
      <c r="C46" s="38" t="s">
        <v>15</v>
      </c>
      <c r="D46" s="1">
        <v>196</v>
      </c>
      <c r="E46" s="1">
        <v>227</v>
      </c>
      <c r="F46" s="24" t="s">
        <v>1008</v>
      </c>
      <c r="H46" s="80"/>
      <c r="I46" s="18" t="s">
        <v>15</v>
      </c>
      <c r="J46" s="1">
        <v>196</v>
      </c>
      <c r="K46" s="1">
        <v>227</v>
      </c>
      <c r="L46" s="24" t="s">
        <v>1043</v>
      </c>
      <c r="N46" s="80"/>
      <c r="O46" s="18" t="s">
        <v>15</v>
      </c>
      <c r="P46" s="1">
        <v>196</v>
      </c>
      <c r="Q46" s="1">
        <v>227</v>
      </c>
      <c r="R46" s="24" t="s">
        <v>1078</v>
      </c>
      <c r="T46" s="80"/>
      <c r="U46" s="18" t="s">
        <v>15</v>
      </c>
      <c r="V46" s="1">
        <v>196</v>
      </c>
      <c r="W46" s="1">
        <v>227</v>
      </c>
      <c r="X46" s="24" t="s">
        <v>1113</v>
      </c>
      <c r="Z46" s="80"/>
      <c r="AA46" s="18" t="s">
        <v>15</v>
      </c>
      <c r="AB46" s="1">
        <v>196</v>
      </c>
      <c r="AC46" s="1">
        <v>227</v>
      </c>
      <c r="AD46" s="24" t="s">
        <v>1148</v>
      </c>
    </row>
    <row r="47" spans="1:42" x14ac:dyDescent="0.4">
      <c r="B47" s="80"/>
      <c r="C47" s="39" t="s">
        <v>4</v>
      </c>
      <c r="D47" s="35">
        <v>228</v>
      </c>
      <c r="E47" s="35">
        <v>259</v>
      </c>
      <c r="F47" s="36" t="s">
        <v>1009</v>
      </c>
      <c r="H47" s="80"/>
      <c r="I47" s="18" t="s">
        <v>4</v>
      </c>
      <c r="J47" s="1">
        <v>228</v>
      </c>
      <c r="K47" s="1">
        <v>259</v>
      </c>
      <c r="L47" s="24" t="s">
        <v>1044</v>
      </c>
      <c r="N47" s="80"/>
      <c r="O47" s="18" t="s">
        <v>4</v>
      </c>
      <c r="P47" s="1">
        <v>228</v>
      </c>
      <c r="Q47" s="1">
        <v>259</v>
      </c>
      <c r="R47" s="24" t="s">
        <v>1079</v>
      </c>
      <c r="T47" s="80"/>
      <c r="U47" s="18" t="s">
        <v>4</v>
      </c>
      <c r="V47" s="1">
        <v>228</v>
      </c>
      <c r="W47" s="1">
        <v>259</v>
      </c>
      <c r="X47" s="24" t="s">
        <v>1114</v>
      </c>
      <c r="Z47" s="80"/>
      <c r="AA47" s="18" t="s">
        <v>4</v>
      </c>
      <c r="AB47" s="1">
        <v>228</v>
      </c>
      <c r="AC47" s="1">
        <v>259</v>
      </c>
      <c r="AD47" s="24" t="s">
        <v>1149</v>
      </c>
    </row>
    <row r="48" spans="1:42" ht="19.5" thickBot="1" x14ac:dyDescent="0.45">
      <c r="B48" s="81"/>
      <c r="C48" s="18" t="s">
        <v>5</v>
      </c>
      <c r="D48" s="1">
        <v>260</v>
      </c>
      <c r="E48" s="1">
        <v>291</v>
      </c>
      <c r="F48" s="24" t="s">
        <v>1010</v>
      </c>
      <c r="H48" s="81"/>
      <c r="I48" s="30" t="s">
        <v>5</v>
      </c>
      <c r="J48" s="26">
        <v>260</v>
      </c>
      <c r="K48" s="26">
        <v>291</v>
      </c>
      <c r="L48" s="27" t="s">
        <v>1045</v>
      </c>
      <c r="N48" s="81"/>
      <c r="O48" s="30" t="s">
        <v>5</v>
      </c>
      <c r="P48" s="26">
        <v>260</v>
      </c>
      <c r="Q48" s="26">
        <v>291</v>
      </c>
      <c r="R48" s="27" t="s">
        <v>1080</v>
      </c>
      <c r="T48" s="81"/>
      <c r="U48" s="30" t="s">
        <v>5</v>
      </c>
      <c r="V48" s="26">
        <v>260</v>
      </c>
      <c r="W48" s="26">
        <v>291</v>
      </c>
      <c r="X48" s="27" t="s">
        <v>1115</v>
      </c>
      <c r="Z48" s="81"/>
      <c r="AA48" s="30" t="s">
        <v>5</v>
      </c>
      <c r="AB48" s="26">
        <v>260</v>
      </c>
      <c r="AC48" s="26">
        <v>291</v>
      </c>
      <c r="AD48" s="27" t="s">
        <v>1150</v>
      </c>
    </row>
    <row r="49" spans="2:30" ht="18" customHeight="1" x14ac:dyDescent="0.4">
      <c r="B49" s="75" t="s">
        <v>23</v>
      </c>
      <c r="C49" s="21" t="s">
        <v>24</v>
      </c>
      <c r="D49" s="22">
        <v>292</v>
      </c>
      <c r="E49" s="22">
        <v>321</v>
      </c>
      <c r="F49" s="23" t="s">
        <v>1011</v>
      </c>
      <c r="H49" s="75" t="s">
        <v>23</v>
      </c>
      <c r="I49" s="45" t="s">
        <v>24</v>
      </c>
      <c r="J49" s="22">
        <v>292</v>
      </c>
      <c r="K49" s="22">
        <v>321</v>
      </c>
      <c r="L49" s="23" t="s">
        <v>1046</v>
      </c>
      <c r="N49" s="75" t="s">
        <v>23</v>
      </c>
      <c r="O49" s="45" t="s">
        <v>24</v>
      </c>
      <c r="P49" s="22">
        <v>292</v>
      </c>
      <c r="Q49" s="22">
        <v>321</v>
      </c>
      <c r="R49" s="23" t="s">
        <v>1081</v>
      </c>
      <c r="T49" s="75" t="s">
        <v>23</v>
      </c>
      <c r="U49" s="45" t="s">
        <v>24</v>
      </c>
      <c r="V49" s="22">
        <v>292</v>
      </c>
      <c r="W49" s="22">
        <v>321</v>
      </c>
      <c r="X49" s="23" t="s">
        <v>1116</v>
      </c>
      <c r="Z49" s="75" t="s">
        <v>23</v>
      </c>
      <c r="AA49" s="45" t="s">
        <v>24</v>
      </c>
      <c r="AB49" s="22">
        <v>292</v>
      </c>
      <c r="AC49" s="22">
        <v>321</v>
      </c>
      <c r="AD49" s="23" t="s">
        <v>1151</v>
      </c>
    </row>
    <row r="50" spans="2:30" x14ac:dyDescent="0.4">
      <c r="B50" s="76"/>
      <c r="C50" s="19" t="s">
        <v>25</v>
      </c>
      <c r="D50" s="1">
        <v>322</v>
      </c>
      <c r="E50" s="1">
        <v>351</v>
      </c>
      <c r="F50" s="24" t="s">
        <v>1012</v>
      </c>
      <c r="H50" s="76"/>
      <c r="I50" s="43" t="s">
        <v>25</v>
      </c>
      <c r="J50" s="1">
        <v>322</v>
      </c>
      <c r="K50" s="1">
        <v>351</v>
      </c>
      <c r="L50" s="24" t="s">
        <v>1047</v>
      </c>
      <c r="N50" s="76"/>
      <c r="O50" s="43" t="s">
        <v>25</v>
      </c>
      <c r="P50" s="1">
        <v>322</v>
      </c>
      <c r="Q50" s="1">
        <v>351</v>
      </c>
      <c r="R50" s="24" t="s">
        <v>1082</v>
      </c>
      <c r="T50" s="76"/>
      <c r="U50" s="43" t="s">
        <v>25</v>
      </c>
      <c r="V50" s="1">
        <v>322</v>
      </c>
      <c r="W50" s="1">
        <v>351</v>
      </c>
      <c r="X50" s="24" t="s">
        <v>1117</v>
      </c>
      <c r="Z50" s="76"/>
      <c r="AA50" s="43" t="s">
        <v>25</v>
      </c>
      <c r="AB50" s="1">
        <v>322</v>
      </c>
      <c r="AC50" s="1">
        <v>351</v>
      </c>
      <c r="AD50" s="24" t="s">
        <v>1152</v>
      </c>
    </row>
    <row r="51" spans="2:30" x14ac:dyDescent="0.4">
      <c r="B51" s="76"/>
      <c r="C51" s="19" t="s">
        <v>26</v>
      </c>
      <c r="D51" s="1">
        <v>352</v>
      </c>
      <c r="E51" s="1">
        <v>381</v>
      </c>
      <c r="F51" s="24" t="s">
        <v>1013</v>
      </c>
      <c r="H51" s="76"/>
      <c r="I51" s="43" t="s">
        <v>26</v>
      </c>
      <c r="J51" s="1">
        <v>352</v>
      </c>
      <c r="K51" s="1">
        <v>381</v>
      </c>
      <c r="L51" s="24" t="s">
        <v>1048</v>
      </c>
      <c r="N51" s="76"/>
      <c r="O51" s="43" t="s">
        <v>26</v>
      </c>
      <c r="P51" s="1">
        <v>352</v>
      </c>
      <c r="Q51" s="1">
        <v>381</v>
      </c>
      <c r="R51" s="24" t="s">
        <v>1083</v>
      </c>
      <c r="T51" s="76"/>
      <c r="U51" s="43" t="s">
        <v>26</v>
      </c>
      <c r="V51" s="1">
        <v>352</v>
      </c>
      <c r="W51" s="1">
        <v>381</v>
      </c>
      <c r="X51" s="24" t="s">
        <v>1118</v>
      </c>
      <c r="Z51" s="76"/>
      <c r="AA51" s="43" t="s">
        <v>26</v>
      </c>
      <c r="AB51" s="1">
        <v>352</v>
      </c>
      <c r="AC51" s="1">
        <v>381</v>
      </c>
      <c r="AD51" s="24" t="s">
        <v>1153</v>
      </c>
    </row>
    <row r="52" spans="2:30" x14ac:dyDescent="0.4">
      <c r="B52" s="76"/>
      <c r="C52" s="19" t="s">
        <v>19</v>
      </c>
      <c r="D52" s="1">
        <v>382</v>
      </c>
      <c r="E52" s="1">
        <v>411</v>
      </c>
      <c r="F52" s="24" t="s">
        <v>1014</v>
      </c>
      <c r="H52" s="76"/>
      <c r="I52" s="43" t="s">
        <v>19</v>
      </c>
      <c r="J52" s="1">
        <v>382</v>
      </c>
      <c r="K52" s="1">
        <v>411</v>
      </c>
      <c r="L52" s="24" t="s">
        <v>1049</v>
      </c>
      <c r="N52" s="76"/>
      <c r="O52" s="43" t="s">
        <v>19</v>
      </c>
      <c r="P52" s="1">
        <v>382</v>
      </c>
      <c r="Q52" s="1">
        <v>411</v>
      </c>
      <c r="R52" s="24" t="s">
        <v>1084</v>
      </c>
      <c r="T52" s="76"/>
      <c r="U52" s="43" t="s">
        <v>19</v>
      </c>
      <c r="V52" s="1">
        <v>382</v>
      </c>
      <c r="W52" s="1">
        <v>411</v>
      </c>
      <c r="X52" s="24" t="s">
        <v>1119</v>
      </c>
      <c r="Z52" s="76"/>
      <c r="AA52" s="43" t="s">
        <v>19</v>
      </c>
      <c r="AB52" s="1">
        <v>382</v>
      </c>
      <c r="AC52" s="1">
        <v>411</v>
      </c>
      <c r="AD52" s="24" t="s">
        <v>1154</v>
      </c>
    </row>
    <row r="53" spans="2:30" x14ac:dyDescent="0.4">
      <c r="B53" s="76"/>
      <c r="C53" s="19" t="s">
        <v>18</v>
      </c>
      <c r="D53" s="1">
        <v>412</v>
      </c>
      <c r="E53" s="1">
        <v>441</v>
      </c>
      <c r="F53" s="24" t="s">
        <v>1015</v>
      </c>
      <c r="H53" s="76"/>
      <c r="I53" s="43" t="s">
        <v>18</v>
      </c>
      <c r="J53" s="1">
        <v>412</v>
      </c>
      <c r="K53" s="1">
        <v>441</v>
      </c>
      <c r="L53" s="24" t="s">
        <v>1050</v>
      </c>
      <c r="N53" s="76"/>
      <c r="O53" s="43" t="s">
        <v>18</v>
      </c>
      <c r="P53" s="1">
        <v>412</v>
      </c>
      <c r="Q53" s="1">
        <v>441</v>
      </c>
      <c r="R53" s="24" t="s">
        <v>1085</v>
      </c>
      <c r="T53" s="76"/>
      <c r="U53" s="43" t="s">
        <v>18</v>
      </c>
      <c r="V53" s="1">
        <v>412</v>
      </c>
      <c r="W53" s="1">
        <v>441</v>
      </c>
      <c r="X53" s="24" t="s">
        <v>1120</v>
      </c>
      <c r="Z53" s="76"/>
      <c r="AA53" s="43" t="s">
        <v>18</v>
      </c>
      <c r="AB53" s="1">
        <v>412</v>
      </c>
      <c r="AC53" s="1">
        <v>441</v>
      </c>
      <c r="AD53" s="24" t="s">
        <v>1155</v>
      </c>
    </row>
    <row r="54" spans="2:30" x14ac:dyDescent="0.4">
      <c r="B54" s="76"/>
      <c r="C54" s="19" t="s">
        <v>27</v>
      </c>
      <c r="D54" s="1">
        <v>442</v>
      </c>
      <c r="E54" s="1">
        <v>471</v>
      </c>
      <c r="F54" s="24" t="s">
        <v>1016</v>
      </c>
      <c r="H54" s="76"/>
      <c r="I54" s="41" t="s">
        <v>27</v>
      </c>
      <c r="J54" s="35">
        <v>442</v>
      </c>
      <c r="K54" s="35">
        <v>471</v>
      </c>
      <c r="L54" s="36" t="s">
        <v>1051</v>
      </c>
      <c r="N54" s="76"/>
      <c r="O54" s="41" t="s">
        <v>27</v>
      </c>
      <c r="P54" s="35">
        <v>442</v>
      </c>
      <c r="Q54" s="35">
        <v>471</v>
      </c>
      <c r="R54" s="36" t="s">
        <v>1086</v>
      </c>
      <c r="T54" s="76"/>
      <c r="U54" s="41" t="s">
        <v>27</v>
      </c>
      <c r="V54" s="35">
        <v>442</v>
      </c>
      <c r="W54" s="35">
        <v>471</v>
      </c>
      <c r="X54" s="36" t="s">
        <v>1121</v>
      </c>
      <c r="Z54" s="76"/>
      <c r="AA54" s="41" t="s">
        <v>27</v>
      </c>
      <c r="AB54" s="35">
        <v>442</v>
      </c>
      <c r="AC54" s="35">
        <v>471</v>
      </c>
      <c r="AD54" s="36" t="s">
        <v>1156</v>
      </c>
    </row>
    <row r="55" spans="2:30" x14ac:dyDescent="0.4">
      <c r="B55" s="76"/>
      <c r="C55" s="19" t="s">
        <v>28</v>
      </c>
      <c r="D55" s="1">
        <v>472</v>
      </c>
      <c r="E55" s="1">
        <v>501</v>
      </c>
      <c r="F55" s="24" t="s">
        <v>1017</v>
      </c>
      <c r="H55" s="76"/>
      <c r="I55" s="19" t="s">
        <v>28</v>
      </c>
      <c r="J55" s="1">
        <v>472</v>
      </c>
      <c r="K55" s="1">
        <v>501</v>
      </c>
      <c r="L55" s="24" t="s">
        <v>1052</v>
      </c>
      <c r="N55" s="76"/>
      <c r="O55" s="19" t="s">
        <v>28</v>
      </c>
      <c r="P55" s="1">
        <v>472</v>
      </c>
      <c r="Q55" s="1">
        <v>501</v>
      </c>
      <c r="R55" s="24" t="s">
        <v>1087</v>
      </c>
      <c r="T55" s="76"/>
      <c r="U55" s="19" t="s">
        <v>28</v>
      </c>
      <c r="V55" s="1">
        <v>472</v>
      </c>
      <c r="W55" s="1">
        <v>501</v>
      </c>
      <c r="X55" s="24" t="s">
        <v>1122</v>
      </c>
      <c r="Z55" s="76"/>
      <c r="AA55" s="19" t="s">
        <v>28</v>
      </c>
      <c r="AB55" s="1">
        <v>472</v>
      </c>
      <c r="AC55" s="1">
        <v>501</v>
      </c>
      <c r="AD55" s="24" t="s">
        <v>1157</v>
      </c>
    </row>
    <row r="56" spans="2:30" x14ac:dyDescent="0.4">
      <c r="B56" s="76"/>
      <c r="C56" s="19" t="s">
        <v>29</v>
      </c>
      <c r="D56" s="1">
        <v>502</v>
      </c>
      <c r="E56" s="1">
        <v>531</v>
      </c>
      <c r="F56" s="24" t="s">
        <v>1018</v>
      </c>
      <c r="H56" s="76"/>
      <c r="I56" s="19" t="s">
        <v>29</v>
      </c>
      <c r="J56" s="1">
        <v>502</v>
      </c>
      <c r="K56" s="1">
        <v>531</v>
      </c>
      <c r="L56" s="24" t="s">
        <v>1053</v>
      </c>
      <c r="N56" s="76"/>
      <c r="O56" s="19" t="s">
        <v>29</v>
      </c>
      <c r="P56" s="1">
        <v>502</v>
      </c>
      <c r="Q56" s="1">
        <v>531</v>
      </c>
      <c r="R56" s="24" t="s">
        <v>1088</v>
      </c>
      <c r="T56" s="76"/>
      <c r="U56" s="19" t="s">
        <v>29</v>
      </c>
      <c r="V56" s="1">
        <v>502</v>
      </c>
      <c r="W56" s="1">
        <v>531</v>
      </c>
      <c r="X56" s="24" t="s">
        <v>1123</v>
      </c>
      <c r="Z56" s="76"/>
      <c r="AA56" s="19" t="s">
        <v>29</v>
      </c>
      <c r="AB56" s="1">
        <v>502</v>
      </c>
      <c r="AC56" s="1">
        <v>531</v>
      </c>
      <c r="AD56" s="24" t="s">
        <v>1158</v>
      </c>
    </row>
    <row r="57" spans="2:30" x14ac:dyDescent="0.4">
      <c r="B57" s="76"/>
      <c r="C57" s="19" t="s">
        <v>17</v>
      </c>
      <c r="D57" s="1">
        <v>532</v>
      </c>
      <c r="E57" s="1">
        <v>561</v>
      </c>
      <c r="F57" s="24" t="s">
        <v>1019</v>
      </c>
      <c r="H57" s="76"/>
      <c r="I57" s="19" t="s">
        <v>17</v>
      </c>
      <c r="J57" s="1">
        <v>532</v>
      </c>
      <c r="K57" s="1">
        <v>561</v>
      </c>
      <c r="L57" s="24" t="s">
        <v>1054</v>
      </c>
      <c r="N57" s="76"/>
      <c r="O57" s="19" t="s">
        <v>17</v>
      </c>
      <c r="P57" s="1">
        <v>532</v>
      </c>
      <c r="Q57" s="1">
        <v>561</v>
      </c>
      <c r="R57" s="24" t="s">
        <v>1089</v>
      </c>
      <c r="T57" s="76"/>
      <c r="U57" s="19" t="s">
        <v>17</v>
      </c>
      <c r="V57" s="1">
        <v>532</v>
      </c>
      <c r="W57" s="1">
        <v>561</v>
      </c>
      <c r="X57" s="24" t="s">
        <v>1124</v>
      </c>
      <c r="Z57" s="76"/>
      <c r="AA57" s="19" t="s">
        <v>17</v>
      </c>
      <c r="AB57" s="1">
        <v>532</v>
      </c>
      <c r="AC57" s="1">
        <v>561</v>
      </c>
      <c r="AD57" s="24" t="s">
        <v>1159</v>
      </c>
    </row>
    <row r="58" spans="2:30" x14ac:dyDescent="0.4">
      <c r="B58" s="76"/>
      <c r="C58" s="19" t="s">
        <v>20</v>
      </c>
      <c r="D58" s="1">
        <v>562</v>
      </c>
      <c r="E58" s="1">
        <v>591</v>
      </c>
      <c r="F58" s="24" t="s">
        <v>1020</v>
      </c>
      <c r="H58" s="76"/>
      <c r="I58" s="19" t="s">
        <v>20</v>
      </c>
      <c r="J58" s="1">
        <v>562</v>
      </c>
      <c r="K58" s="1">
        <v>591</v>
      </c>
      <c r="L58" s="24" t="s">
        <v>1055</v>
      </c>
      <c r="N58" s="76"/>
      <c r="O58" s="19" t="s">
        <v>20</v>
      </c>
      <c r="P58" s="1">
        <v>562</v>
      </c>
      <c r="Q58" s="1">
        <v>591</v>
      </c>
      <c r="R58" s="24" t="s">
        <v>1090</v>
      </c>
      <c r="T58" s="76"/>
      <c r="U58" s="19" t="s">
        <v>20</v>
      </c>
      <c r="V58" s="1">
        <v>562</v>
      </c>
      <c r="W58" s="1">
        <v>591</v>
      </c>
      <c r="X58" s="24" t="s">
        <v>1125</v>
      </c>
      <c r="Z58" s="76"/>
      <c r="AA58" s="19" t="s">
        <v>20</v>
      </c>
      <c r="AB58" s="1">
        <v>562</v>
      </c>
      <c r="AC58" s="1">
        <v>591</v>
      </c>
      <c r="AD58" s="24" t="s">
        <v>1160</v>
      </c>
    </row>
    <row r="59" spans="2:30" x14ac:dyDescent="0.4">
      <c r="B59" s="76"/>
      <c r="C59" s="19" t="s">
        <v>21</v>
      </c>
      <c r="D59" s="1">
        <v>592</v>
      </c>
      <c r="E59" s="1">
        <v>621</v>
      </c>
      <c r="F59" s="24" t="s">
        <v>1021</v>
      </c>
      <c r="H59" s="76"/>
      <c r="I59" s="19" t="s">
        <v>21</v>
      </c>
      <c r="J59" s="1">
        <v>592</v>
      </c>
      <c r="K59" s="1">
        <v>621</v>
      </c>
      <c r="L59" s="24" t="s">
        <v>1056</v>
      </c>
      <c r="N59" s="76"/>
      <c r="O59" s="19" t="s">
        <v>21</v>
      </c>
      <c r="P59" s="1">
        <v>592</v>
      </c>
      <c r="Q59" s="1">
        <v>621</v>
      </c>
      <c r="R59" s="24" t="s">
        <v>1091</v>
      </c>
      <c r="T59" s="76"/>
      <c r="U59" s="19" t="s">
        <v>21</v>
      </c>
      <c r="V59" s="1">
        <v>592</v>
      </c>
      <c r="W59" s="1">
        <v>621</v>
      </c>
      <c r="X59" s="24" t="s">
        <v>1126</v>
      </c>
      <c r="Z59" s="76"/>
      <c r="AA59" s="19" t="s">
        <v>21</v>
      </c>
      <c r="AB59" s="1">
        <v>592</v>
      </c>
      <c r="AC59" s="1">
        <v>621</v>
      </c>
      <c r="AD59" s="24" t="s">
        <v>1161</v>
      </c>
    </row>
    <row r="60" spans="2:30" ht="19.5" thickBot="1" x14ac:dyDescent="0.45">
      <c r="B60" s="77"/>
      <c r="C60" s="25" t="s">
        <v>30</v>
      </c>
      <c r="D60" s="26">
        <v>622</v>
      </c>
      <c r="E60" s="26">
        <v>651</v>
      </c>
      <c r="F60" s="27" t="s">
        <v>1022</v>
      </c>
      <c r="H60" s="77"/>
      <c r="I60" s="40" t="s">
        <v>30</v>
      </c>
      <c r="J60" s="26">
        <v>622</v>
      </c>
      <c r="K60" s="26">
        <v>651</v>
      </c>
      <c r="L60" s="27" t="s">
        <v>1057</v>
      </c>
      <c r="N60" s="77"/>
      <c r="O60" s="40" t="s">
        <v>30</v>
      </c>
      <c r="P60" s="26">
        <v>622</v>
      </c>
      <c r="Q60" s="26">
        <v>651</v>
      </c>
      <c r="R60" s="27" t="s">
        <v>1092</v>
      </c>
      <c r="T60" s="77"/>
      <c r="U60" s="40" t="s">
        <v>30</v>
      </c>
      <c r="V60" s="26">
        <v>622</v>
      </c>
      <c r="W60" s="26">
        <v>651</v>
      </c>
      <c r="X60" s="27" t="s">
        <v>1127</v>
      </c>
      <c r="Z60" s="77"/>
      <c r="AA60" s="40" t="s">
        <v>30</v>
      </c>
      <c r="AB60" s="26">
        <v>622</v>
      </c>
      <c r="AC60" s="26">
        <v>651</v>
      </c>
      <c r="AD60" s="27" t="s">
        <v>1162</v>
      </c>
    </row>
    <row r="61" spans="2:30" ht="18.75" customHeight="1" x14ac:dyDescent="0.4">
      <c r="B61" s="75" t="s">
        <v>31</v>
      </c>
      <c r="C61" s="29" t="s">
        <v>24</v>
      </c>
      <c r="D61" s="22">
        <v>652</v>
      </c>
      <c r="E61" s="22">
        <v>681</v>
      </c>
      <c r="F61" s="23" t="s">
        <v>1023</v>
      </c>
      <c r="H61" s="75" t="s">
        <v>31</v>
      </c>
      <c r="I61" s="42" t="s">
        <v>24</v>
      </c>
      <c r="J61" s="22">
        <v>652</v>
      </c>
      <c r="K61" s="22">
        <v>681</v>
      </c>
      <c r="L61" s="23" t="s">
        <v>1058</v>
      </c>
      <c r="N61" s="75" t="s">
        <v>31</v>
      </c>
      <c r="O61" s="42" t="s">
        <v>24</v>
      </c>
      <c r="P61" s="22">
        <v>652</v>
      </c>
      <c r="Q61" s="22">
        <v>681</v>
      </c>
      <c r="R61" s="23" t="s">
        <v>1093</v>
      </c>
      <c r="T61" s="75" t="s">
        <v>31</v>
      </c>
      <c r="U61" s="42" t="s">
        <v>24</v>
      </c>
      <c r="V61" s="22">
        <v>652</v>
      </c>
      <c r="W61" s="22">
        <v>681</v>
      </c>
      <c r="X61" s="23" t="s">
        <v>1128</v>
      </c>
      <c r="Z61" s="75" t="s">
        <v>31</v>
      </c>
      <c r="AA61" s="42" t="s">
        <v>24</v>
      </c>
      <c r="AB61" s="22">
        <v>652</v>
      </c>
      <c r="AC61" s="22">
        <v>681</v>
      </c>
      <c r="AD61" s="23" t="s">
        <v>1163</v>
      </c>
    </row>
    <row r="62" spans="2:30" x14ac:dyDescent="0.4">
      <c r="B62" s="76"/>
      <c r="C62" s="18" t="s">
        <v>25</v>
      </c>
      <c r="D62" s="1">
        <v>682</v>
      </c>
      <c r="E62" s="1">
        <v>711</v>
      </c>
      <c r="F62" s="24" t="s">
        <v>1024</v>
      </c>
      <c r="H62" s="76"/>
      <c r="I62" s="38" t="s">
        <v>25</v>
      </c>
      <c r="J62" s="1">
        <v>682</v>
      </c>
      <c r="K62" s="1">
        <v>711</v>
      </c>
      <c r="L62" s="24" t="s">
        <v>1059</v>
      </c>
      <c r="N62" s="76"/>
      <c r="O62" s="38" t="s">
        <v>25</v>
      </c>
      <c r="P62" s="1">
        <v>682</v>
      </c>
      <c r="Q62" s="1">
        <v>711</v>
      </c>
      <c r="R62" s="24" t="s">
        <v>1094</v>
      </c>
      <c r="T62" s="76"/>
      <c r="U62" s="38" t="s">
        <v>25</v>
      </c>
      <c r="V62" s="1">
        <v>682</v>
      </c>
      <c r="W62" s="1">
        <v>711</v>
      </c>
      <c r="X62" s="24" t="s">
        <v>1129</v>
      </c>
      <c r="Z62" s="76"/>
      <c r="AA62" s="38" t="s">
        <v>25</v>
      </c>
      <c r="AB62" s="1">
        <v>682</v>
      </c>
      <c r="AC62" s="1">
        <v>711</v>
      </c>
      <c r="AD62" s="24" t="s">
        <v>1164</v>
      </c>
    </row>
    <row r="63" spans="2:30" x14ac:dyDescent="0.4">
      <c r="B63" s="76"/>
      <c r="C63" s="18" t="s">
        <v>26</v>
      </c>
      <c r="D63" s="1">
        <v>712</v>
      </c>
      <c r="E63" s="1">
        <v>741</v>
      </c>
      <c r="F63" s="24" t="s">
        <v>1025</v>
      </c>
      <c r="H63" s="76"/>
      <c r="I63" s="38" t="s">
        <v>26</v>
      </c>
      <c r="J63" s="1">
        <v>712</v>
      </c>
      <c r="K63" s="1">
        <v>741</v>
      </c>
      <c r="L63" s="24" t="s">
        <v>1060</v>
      </c>
      <c r="N63" s="76"/>
      <c r="O63" s="38" t="s">
        <v>26</v>
      </c>
      <c r="P63" s="1">
        <v>712</v>
      </c>
      <c r="Q63" s="1">
        <v>741</v>
      </c>
      <c r="R63" s="24" t="s">
        <v>1095</v>
      </c>
      <c r="T63" s="76"/>
      <c r="U63" s="38" t="s">
        <v>26</v>
      </c>
      <c r="V63" s="1">
        <v>712</v>
      </c>
      <c r="W63" s="1">
        <v>741</v>
      </c>
      <c r="X63" s="24" t="s">
        <v>1130</v>
      </c>
      <c r="Z63" s="76"/>
      <c r="AA63" s="38" t="s">
        <v>26</v>
      </c>
      <c r="AB63" s="1">
        <v>712</v>
      </c>
      <c r="AC63" s="1">
        <v>741</v>
      </c>
      <c r="AD63" s="24" t="s">
        <v>1165</v>
      </c>
    </row>
    <row r="64" spans="2:30" x14ac:dyDescent="0.4">
      <c r="B64" s="76"/>
      <c r="C64" s="19" t="s">
        <v>19</v>
      </c>
      <c r="D64" s="1">
        <v>742</v>
      </c>
      <c r="E64" s="1">
        <v>771</v>
      </c>
      <c r="F64" s="24" t="s">
        <v>1026</v>
      </c>
      <c r="H64" s="76"/>
      <c r="I64" s="43" t="s">
        <v>19</v>
      </c>
      <c r="J64" s="1">
        <v>742</v>
      </c>
      <c r="K64" s="1">
        <v>771</v>
      </c>
      <c r="L64" s="24" t="s">
        <v>1061</v>
      </c>
      <c r="N64" s="76"/>
      <c r="O64" s="43" t="s">
        <v>19</v>
      </c>
      <c r="P64" s="1">
        <v>742</v>
      </c>
      <c r="Q64" s="1">
        <v>771</v>
      </c>
      <c r="R64" s="24" t="s">
        <v>1096</v>
      </c>
      <c r="T64" s="76"/>
      <c r="U64" s="43" t="s">
        <v>19</v>
      </c>
      <c r="V64" s="1">
        <v>742</v>
      </c>
      <c r="W64" s="1">
        <v>771</v>
      </c>
      <c r="X64" s="24" t="s">
        <v>1131</v>
      </c>
      <c r="Z64" s="76"/>
      <c r="AA64" s="43" t="s">
        <v>19</v>
      </c>
      <c r="AB64" s="1">
        <v>742</v>
      </c>
      <c r="AC64" s="1">
        <v>771</v>
      </c>
      <c r="AD64" s="24" t="s">
        <v>1166</v>
      </c>
    </row>
    <row r="65" spans="2:30" x14ac:dyDescent="0.4">
      <c r="B65" s="76"/>
      <c r="C65" s="20" t="s">
        <v>18</v>
      </c>
      <c r="D65" s="1">
        <v>772</v>
      </c>
      <c r="E65" s="1">
        <v>801</v>
      </c>
      <c r="F65" s="24" t="s">
        <v>1027</v>
      </c>
      <c r="H65" s="76"/>
      <c r="I65" s="44" t="s">
        <v>18</v>
      </c>
      <c r="J65" s="1">
        <v>772</v>
      </c>
      <c r="K65" s="1">
        <v>801</v>
      </c>
      <c r="L65" s="24" t="s">
        <v>1062</v>
      </c>
      <c r="N65" s="76"/>
      <c r="O65" s="44" t="s">
        <v>18</v>
      </c>
      <c r="P65" s="1">
        <v>772</v>
      </c>
      <c r="Q65" s="1">
        <v>801</v>
      </c>
      <c r="R65" s="24" t="s">
        <v>1097</v>
      </c>
      <c r="T65" s="76"/>
      <c r="U65" s="44" t="s">
        <v>18</v>
      </c>
      <c r="V65" s="1">
        <v>772</v>
      </c>
      <c r="W65" s="1">
        <v>801</v>
      </c>
      <c r="X65" s="24" t="s">
        <v>1132</v>
      </c>
      <c r="Z65" s="76"/>
      <c r="AA65" s="44" t="s">
        <v>18</v>
      </c>
      <c r="AB65" s="1">
        <v>772</v>
      </c>
      <c r="AC65" s="1">
        <v>801</v>
      </c>
      <c r="AD65" s="24" t="s">
        <v>1167</v>
      </c>
    </row>
    <row r="66" spans="2:30" x14ac:dyDescent="0.4">
      <c r="B66" s="76"/>
      <c r="C66" s="18" t="s">
        <v>27</v>
      </c>
      <c r="D66" s="1">
        <v>802</v>
      </c>
      <c r="E66" s="1">
        <v>831</v>
      </c>
      <c r="F66" s="24" t="s">
        <v>1028</v>
      </c>
      <c r="H66" s="76"/>
      <c r="I66" s="37" t="s">
        <v>27</v>
      </c>
      <c r="J66" s="35">
        <v>802</v>
      </c>
      <c r="K66" s="35">
        <v>831</v>
      </c>
      <c r="L66" s="36" t="s">
        <v>1063</v>
      </c>
      <c r="N66" s="76"/>
      <c r="O66" s="37" t="s">
        <v>27</v>
      </c>
      <c r="P66" s="35">
        <v>802</v>
      </c>
      <c r="Q66" s="35">
        <v>831</v>
      </c>
      <c r="R66" s="36" t="s">
        <v>1098</v>
      </c>
      <c r="T66" s="76"/>
      <c r="U66" s="37" t="s">
        <v>27</v>
      </c>
      <c r="V66" s="35">
        <v>802</v>
      </c>
      <c r="W66" s="35">
        <v>831</v>
      </c>
      <c r="X66" s="36" t="s">
        <v>1133</v>
      </c>
      <c r="Z66" s="76"/>
      <c r="AA66" s="37" t="s">
        <v>27</v>
      </c>
      <c r="AB66" s="35">
        <v>802</v>
      </c>
      <c r="AC66" s="35">
        <v>831</v>
      </c>
      <c r="AD66" s="36" t="s">
        <v>1168</v>
      </c>
    </row>
    <row r="67" spans="2:30" x14ac:dyDescent="0.4">
      <c r="B67" s="76"/>
      <c r="C67" s="18" t="s">
        <v>28</v>
      </c>
      <c r="D67" s="1">
        <v>832</v>
      </c>
      <c r="E67" s="1">
        <v>861</v>
      </c>
      <c r="F67" s="24" t="s">
        <v>1029</v>
      </c>
      <c r="H67" s="76"/>
      <c r="I67" s="38" t="s">
        <v>28</v>
      </c>
      <c r="J67" s="1">
        <v>832</v>
      </c>
      <c r="K67" s="1">
        <v>861</v>
      </c>
      <c r="L67" s="24" t="s">
        <v>1064</v>
      </c>
      <c r="N67" s="76"/>
      <c r="O67" s="38" t="s">
        <v>28</v>
      </c>
      <c r="P67" s="1">
        <v>832</v>
      </c>
      <c r="Q67" s="1">
        <v>861</v>
      </c>
      <c r="R67" s="24" t="s">
        <v>1099</v>
      </c>
      <c r="T67" s="76"/>
      <c r="U67" s="38" t="s">
        <v>28</v>
      </c>
      <c r="V67" s="1">
        <v>832</v>
      </c>
      <c r="W67" s="1">
        <v>861</v>
      </c>
      <c r="X67" s="24" t="s">
        <v>1134</v>
      </c>
      <c r="Z67" s="76"/>
      <c r="AA67" s="38" t="s">
        <v>28</v>
      </c>
      <c r="AB67" s="1">
        <v>832</v>
      </c>
      <c r="AC67" s="1">
        <v>861</v>
      </c>
      <c r="AD67" s="24" t="s">
        <v>1169</v>
      </c>
    </row>
    <row r="68" spans="2:30" x14ac:dyDescent="0.4">
      <c r="B68" s="76"/>
      <c r="C68" s="18" t="s">
        <v>29</v>
      </c>
      <c r="D68" s="1">
        <v>862</v>
      </c>
      <c r="E68" s="1">
        <v>891</v>
      </c>
      <c r="F68" s="24" t="s">
        <v>1030</v>
      </c>
      <c r="H68" s="76"/>
      <c r="I68" s="38" t="s">
        <v>29</v>
      </c>
      <c r="J68" s="1">
        <v>862</v>
      </c>
      <c r="K68" s="1">
        <v>891</v>
      </c>
      <c r="L68" s="24" t="s">
        <v>1065</v>
      </c>
      <c r="N68" s="76"/>
      <c r="O68" s="38" t="s">
        <v>29</v>
      </c>
      <c r="P68" s="1">
        <v>862</v>
      </c>
      <c r="Q68" s="1">
        <v>891</v>
      </c>
      <c r="R68" s="24" t="s">
        <v>1100</v>
      </c>
      <c r="T68" s="76"/>
      <c r="U68" s="38" t="s">
        <v>29</v>
      </c>
      <c r="V68" s="1">
        <v>862</v>
      </c>
      <c r="W68" s="1">
        <v>891</v>
      </c>
      <c r="X68" s="24" t="s">
        <v>1135</v>
      </c>
      <c r="Z68" s="76"/>
      <c r="AA68" s="38" t="s">
        <v>29</v>
      </c>
      <c r="AB68" s="1">
        <v>862</v>
      </c>
      <c r="AC68" s="1">
        <v>891</v>
      </c>
      <c r="AD68" s="24" t="s">
        <v>1170</v>
      </c>
    </row>
    <row r="69" spans="2:30" ht="19.5" thickBot="1" x14ac:dyDescent="0.45">
      <c r="B69" s="77"/>
      <c r="C69" s="25" t="s">
        <v>17</v>
      </c>
      <c r="D69" s="26">
        <v>892</v>
      </c>
      <c r="E69" s="26">
        <v>921</v>
      </c>
      <c r="F69" s="27" t="s">
        <v>1031</v>
      </c>
      <c r="H69" s="77"/>
      <c r="I69" s="40" t="s">
        <v>17</v>
      </c>
      <c r="J69" s="26">
        <v>892</v>
      </c>
      <c r="K69" s="26">
        <v>921</v>
      </c>
      <c r="L69" s="27" t="s">
        <v>1066</v>
      </c>
      <c r="N69" s="77"/>
      <c r="O69" s="40" t="s">
        <v>17</v>
      </c>
      <c r="P69" s="26">
        <v>892</v>
      </c>
      <c r="Q69" s="26">
        <v>921</v>
      </c>
      <c r="R69" s="27" t="s">
        <v>1101</v>
      </c>
      <c r="T69" s="77"/>
      <c r="U69" s="40" t="s">
        <v>17</v>
      </c>
      <c r="V69" s="26">
        <v>892</v>
      </c>
      <c r="W69" s="26">
        <v>921</v>
      </c>
      <c r="X69" s="27" t="s">
        <v>1136</v>
      </c>
      <c r="Z69" s="77"/>
      <c r="AA69" s="40" t="s">
        <v>17</v>
      </c>
      <c r="AB69" s="26">
        <v>892</v>
      </c>
      <c r="AC69" s="26">
        <v>921</v>
      </c>
      <c r="AD69" s="27" t="s">
        <v>1171</v>
      </c>
    </row>
    <row r="70" spans="2:30" x14ac:dyDescent="0.4">
      <c r="B70" s="79" t="s">
        <v>22</v>
      </c>
      <c r="C70" s="21" t="s">
        <v>17</v>
      </c>
      <c r="D70" s="22">
        <v>922</v>
      </c>
      <c r="E70" s="22">
        <v>953</v>
      </c>
      <c r="F70" s="23" t="s">
        <v>1032</v>
      </c>
      <c r="H70" s="79" t="s">
        <v>22</v>
      </c>
      <c r="I70" s="41" t="s">
        <v>17</v>
      </c>
      <c r="J70" s="35">
        <v>922</v>
      </c>
      <c r="K70" s="35">
        <v>953</v>
      </c>
      <c r="L70" s="36" t="s">
        <v>1067</v>
      </c>
      <c r="N70" s="79" t="s">
        <v>22</v>
      </c>
      <c r="O70" s="41" t="s">
        <v>17</v>
      </c>
      <c r="P70" s="35">
        <v>922</v>
      </c>
      <c r="Q70" s="35">
        <v>953</v>
      </c>
      <c r="R70" s="36" t="s">
        <v>1102</v>
      </c>
      <c r="T70" s="79" t="s">
        <v>22</v>
      </c>
      <c r="U70" s="41" t="s">
        <v>17</v>
      </c>
      <c r="V70" s="35">
        <v>922</v>
      </c>
      <c r="W70" s="35">
        <v>953</v>
      </c>
      <c r="X70" s="36" t="s">
        <v>1137</v>
      </c>
      <c r="Z70" s="79" t="s">
        <v>22</v>
      </c>
      <c r="AA70" s="41" t="s">
        <v>17</v>
      </c>
      <c r="AB70" s="35">
        <v>922</v>
      </c>
      <c r="AC70" s="35">
        <v>953</v>
      </c>
      <c r="AD70" s="36" t="s">
        <v>1172</v>
      </c>
    </row>
    <row r="71" spans="2:30" x14ac:dyDescent="0.4">
      <c r="B71" s="80"/>
      <c r="C71" s="19" t="s">
        <v>18</v>
      </c>
      <c r="D71" s="1">
        <v>954</v>
      </c>
      <c r="E71" s="1">
        <v>985</v>
      </c>
      <c r="F71" s="24" t="s">
        <v>1033</v>
      </c>
      <c r="H71" s="80"/>
      <c r="I71" s="19" t="s">
        <v>18</v>
      </c>
      <c r="J71" s="1">
        <v>954</v>
      </c>
      <c r="K71" s="1">
        <v>985</v>
      </c>
      <c r="L71" s="24" t="s">
        <v>1068</v>
      </c>
      <c r="N71" s="80"/>
      <c r="O71" s="19" t="s">
        <v>18</v>
      </c>
      <c r="P71" s="1">
        <v>954</v>
      </c>
      <c r="Q71" s="1">
        <v>985</v>
      </c>
      <c r="R71" s="24" t="s">
        <v>1103</v>
      </c>
      <c r="T71" s="80"/>
      <c r="U71" s="19" t="s">
        <v>18</v>
      </c>
      <c r="V71" s="1">
        <v>954</v>
      </c>
      <c r="W71" s="1">
        <v>985</v>
      </c>
      <c r="X71" s="24" t="s">
        <v>1138</v>
      </c>
      <c r="Z71" s="80"/>
      <c r="AA71" s="19" t="s">
        <v>18</v>
      </c>
      <c r="AB71" s="1">
        <v>954</v>
      </c>
      <c r="AC71" s="1">
        <v>985</v>
      </c>
      <c r="AD71" s="24" t="s">
        <v>1173</v>
      </c>
    </row>
    <row r="72" spans="2:30" x14ac:dyDescent="0.4">
      <c r="B72" s="80"/>
      <c r="C72" s="19" t="s">
        <v>19</v>
      </c>
      <c r="D72" s="1">
        <v>986</v>
      </c>
      <c r="E72" s="1">
        <v>1017</v>
      </c>
      <c r="F72" s="24" t="s">
        <v>1034</v>
      </c>
      <c r="H72" s="80"/>
      <c r="I72" s="19" t="s">
        <v>19</v>
      </c>
      <c r="J72" s="1">
        <v>986</v>
      </c>
      <c r="K72" s="1">
        <v>1017</v>
      </c>
      <c r="L72" s="24" t="s">
        <v>1069</v>
      </c>
      <c r="N72" s="80"/>
      <c r="O72" s="19" t="s">
        <v>19</v>
      </c>
      <c r="P72" s="1">
        <v>986</v>
      </c>
      <c r="Q72" s="1">
        <v>1017</v>
      </c>
      <c r="R72" s="24" t="s">
        <v>1104</v>
      </c>
      <c r="T72" s="80"/>
      <c r="U72" s="19" t="s">
        <v>19</v>
      </c>
      <c r="V72" s="1">
        <v>986</v>
      </c>
      <c r="W72" s="1">
        <v>1017</v>
      </c>
      <c r="X72" s="24" t="s">
        <v>1139</v>
      </c>
      <c r="Z72" s="80"/>
      <c r="AA72" s="19" t="s">
        <v>19</v>
      </c>
      <c r="AB72" s="1">
        <v>986</v>
      </c>
      <c r="AC72" s="1">
        <v>1017</v>
      </c>
      <c r="AD72" s="24" t="s">
        <v>1174</v>
      </c>
    </row>
    <row r="73" spans="2:30" x14ac:dyDescent="0.4">
      <c r="B73" s="80"/>
      <c r="C73" s="19" t="s">
        <v>20</v>
      </c>
      <c r="D73" s="1">
        <v>1018</v>
      </c>
      <c r="E73" s="1">
        <v>1049</v>
      </c>
      <c r="F73" s="24" t="s">
        <v>1035</v>
      </c>
      <c r="H73" s="80"/>
      <c r="I73" s="19" t="s">
        <v>20</v>
      </c>
      <c r="J73" s="1">
        <v>1018</v>
      </c>
      <c r="K73" s="1">
        <v>1049</v>
      </c>
      <c r="L73" s="24" t="s">
        <v>1070</v>
      </c>
      <c r="N73" s="80"/>
      <c r="O73" s="19" t="s">
        <v>20</v>
      </c>
      <c r="P73" s="1">
        <v>1018</v>
      </c>
      <c r="Q73" s="1">
        <v>1049</v>
      </c>
      <c r="R73" s="24" t="s">
        <v>1105</v>
      </c>
      <c r="T73" s="80"/>
      <c r="U73" s="19" t="s">
        <v>20</v>
      </c>
      <c r="V73" s="1">
        <v>1018</v>
      </c>
      <c r="W73" s="1">
        <v>1049</v>
      </c>
      <c r="X73" s="24" t="s">
        <v>1140</v>
      </c>
      <c r="Z73" s="80"/>
      <c r="AA73" s="19" t="s">
        <v>20</v>
      </c>
      <c r="AB73" s="1">
        <v>1018</v>
      </c>
      <c r="AC73" s="1">
        <v>1049</v>
      </c>
      <c r="AD73" s="24" t="s">
        <v>1175</v>
      </c>
    </row>
    <row r="74" spans="2:30" ht="19.5" thickBot="1" x14ac:dyDescent="0.45">
      <c r="B74" s="81"/>
      <c r="C74" s="25" t="s">
        <v>21</v>
      </c>
      <c r="D74" s="26">
        <v>1050</v>
      </c>
      <c r="E74" s="26">
        <v>1081</v>
      </c>
      <c r="F74" s="27" t="s">
        <v>1036</v>
      </c>
      <c r="H74" s="81"/>
      <c r="I74" s="25" t="s">
        <v>21</v>
      </c>
      <c r="J74" s="26">
        <v>1050</v>
      </c>
      <c r="K74" s="26">
        <v>1081</v>
      </c>
      <c r="L74" s="27" t="s">
        <v>1071</v>
      </c>
      <c r="N74" s="81"/>
      <c r="O74" s="25" t="s">
        <v>21</v>
      </c>
      <c r="P74" s="26">
        <v>1050</v>
      </c>
      <c r="Q74" s="26">
        <v>1081</v>
      </c>
      <c r="R74" s="27" t="s">
        <v>1106</v>
      </c>
      <c r="T74" s="81"/>
      <c r="U74" s="25" t="s">
        <v>21</v>
      </c>
      <c r="V74" s="26">
        <v>1050</v>
      </c>
      <c r="W74" s="26">
        <v>1081</v>
      </c>
      <c r="X74" s="27" t="s">
        <v>1141</v>
      </c>
      <c r="Z74" s="81"/>
      <c r="AA74" s="25" t="s">
        <v>21</v>
      </c>
      <c r="AB74" s="26">
        <v>1050</v>
      </c>
      <c r="AC74" s="26">
        <v>1081</v>
      </c>
      <c r="AD74" s="27" t="s">
        <v>1176</v>
      </c>
    </row>
  </sheetData>
  <autoFilter ref="AG2:AJ6" xr:uid="{480A7AAB-91B3-48E3-8E64-3FAADA7442BD}">
    <sortState ref="AG3:AJ6">
      <sortCondition ref="AH2:AH6"/>
    </sortState>
  </autoFilter>
  <mergeCells count="46">
    <mergeCell ref="B70:B74"/>
    <mergeCell ref="H70:H74"/>
    <mergeCell ref="N70:N74"/>
    <mergeCell ref="T70:T74"/>
    <mergeCell ref="Z70:Z74"/>
    <mergeCell ref="B61:B69"/>
    <mergeCell ref="H61:H69"/>
    <mergeCell ref="N61:N69"/>
    <mergeCell ref="T61:T69"/>
    <mergeCell ref="Z61:Z69"/>
    <mergeCell ref="B49:B60"/>
    <mergeCell ref="H49:H60"/>
    <mergeCell ref="N49:N60"/>
    <mergeCell ref="T49:T60"/>
    <mergeCell ref="Z49:Z60"/>
    <mergeCell ref="AF40:AF43"/>
    <mergeCell ref="B41:B48"/>
    <mergeCell ref="H41:H48"/>
    <mergeCell ref="N41:N48"/>
    <mergeCell ref="T41:T48"/>
    <mergeCell ref="Z41:Z48"/>
    <mergeCell ref="B4:B11"/>
    <mergeCell ref="B33:B37"/>
    <mergeCell ref="B12:B23"/>
    <mergeCell ref="T4:T11"/>
    <mergeCell ref="Z4:Z11"/>
    <mergeCell ref="N4:N11"/>
    <mergeCell ref="H4:H11"/>
    <mergeCell ref="B24:B32"/>
    <mergeCell ref="H33:H37"/>
    <mergeCell ref="H12:H23"/>
    <mergeCell ref="H24:H32"/>
    <mergeCell ref="Z12:Z23"/>
    <mergeCell ref="Z24:Z32"/>
    <mergeCell ref="N12:N23"/>
    <mergeCell ref="N24:N32"/>
    <mergeCell ref="N33:N37"/>
    <mergeCell ref="T12:T23"/>
    <mergeCell ref="T24:T32"/>
    <mergeCell ref="T33:T37"/>
    <mergeCell ref="Z33:Z37"/>
    <mergeCell ref="AL4:AL11"/>
    <mergeCell ref="AL12:AL23"/>
    <mergeCell ref="AL24:AL32"/>
    <mergeCell ref="AL33:AL37"/>
    <mergeCell ref="AF3:AF6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4F876-29B1-43B1-A95A-EC9696305922}">
  <sheetPr codeName="Sheet8"/>
  <dimension ref="B1:O20"/>
  <sheetViews>
    <sheetView zoomScale="89" zoomScaleNormal="89" workbookViewId="0">
      <selection activeCell="C2" sqref="C2"/>
    </sheetView>
  </sheetViews>
  <sheetFormatPr defaultRowHeight="18.75" x14ac:dyDescent="0.4"/>
  <cols>
    <col min="2" max="2" width="19.25" bestFit="1" customWidth="1"/>
    <col min="3" max="3" width="28.75" customWidth="1"/>
    <col min="4" max="4" width="13" bestFit="1" customWidth="1"/>
    <col min="5" max="5" width="17.25" bestFit="1" customWidth="1"/>
    <col min="6" max="6" width="7.125" bestFit="1" customWidth="1"/>
    <col min="7" max="7" width="15.125" bestFit="1" customWidth="1"/>
    <col min="8" max="8" width="19" bestFit="1" customWidth="1"/>
    <col min="9" max="9" width="19.75" bestFit="1" customWidth="1"/>
    <col min="10" max="11" width="12.25" bestFit="1" customWidth="1"/>
    <col min="12" max="12" width="12.375" bestFit="1" customWidth="1"/>
    <col min="14" max="14" width="19" bestFit="1" customWidth="1"/>
    <col min="15" max="15" width="19.75" bestFit="1" customWidth="1"/>
    <col min="16" max="17" width="12.25" bestFit="1" customWidth="1"/>
    <col min="18" max="18" width="12.375" bestFit="1" customWidth="1"/>
  </cols>
  <sheetData>
    <row r="1" spans="2:15" x14ac:dyDescent="0.4">
      <c r="C1" t="s">
        <v>776</v>
      </c>
      <c r="E1" t="s">
        <v>778</v>
      </c>
      <c r="G1" t="s">
        <v>775</v>
      </c>
    </row>
    <row r="2" spans="2:15" x14ac:dyDescent="0.4">
      <c r="B2" s="62" t="s">
        <v>774</v>
      </c>
      <c r="C2" s="62" t="str">
        <f>(集計!G5)</f>
        <v>中央コンタクト・メアシス集計</v>
      </c>
      <c r="D2" s="62" t="s">
        <v>777</v>
      </c>
      <c r="E2" s="62" t="str">
        <f>(集計!H5)</f>
        <v>中央コンタクト</v>
      </c>
      <c r="F2" s="62" t="s">
        <v>773</v>
      </c>
      <c r="G2" s="63" t="str">
        <f>TEXT(集計!D2,"yyyy年mm月")</f>
        <v>2017年09月</v>
      </c>
    </row>
    <row r="3" spans="2:15" ht="19.5" thickBot="1" x14ac:dyDescent="0.45">
      <c r="B3" t="s">
        <v>71</v>
      </c>
      <c r="C3" s="1" t="s">
        <v>0</v>
      </c>
      <c r="D3" s="1" t="s">
        <v>1</v>
      </c>
      <c r="E3" s="1" t="s">
        <v>32</v>
      </c>
      <c r="G3" t="s">
        <v>72</v>
      </c>
      <c r="H3" s="1" t="s">
        <v>0</v>
      </c>
      <c r="I3" s="1" t="s">
        <v>1</v>
      </c>
      <c r="J3" s="1" t="s">
        <v>32</v>
      </c>
      <c r="L3" t="s">
        <v>73</v>
      </c>
      <c r="M3" s="1" t="s">
        <v>0</v>
      </c>
      <c r="N3" s="1" t="s">
        <v>1</v>
      </c>
      <c r="O3" s="1" t="s">
        <v>32</v>
      </c>
    </row>
    <row r="4" spans="2:15" ht="18.75" customHeight="1" x14ac:dyDescent="0.4">
      <c r="B4" s="75" t="s">
        <v>23</v>
      </c>
      <c r="C4" s="12" t="s">
        <v>21</v>
      </c>
      <c r="D4" s="5" t="s">
        <v>797</v>
      </c>
      <c r="E4" s="5" t="s">
        <v>112</v>
      </c>
      <c r="G4" s="75" t="s">
        <v>23</v>
      </c>
      <c r="H4" s="12" t="s">
        <v>21</v>
      </c>
      <c r="I4" s="5" t="s">
        <v>809</v>
      </c>
      <c r="J4" s="5" t="s">
        <v>124</v>
      </c>
      <c r="L4" s="75" t="s">
        <v>23</v>
      </c>
      <c r="M4" s="12" t="s">
        <v>21</v>
      </c>
      <c r="N4" s="5" t="s">
        <v>817</v>
      </c>
      <c r="O4" s="5" t="s">
        <v>136</v>
      </c>
    </row>
    <row r="5" spans="2:15" ht="18.75" customHeight="1" x14ac:dyDescent="0.4">
      <c r="B5" s="76"/>
      <c r="C5" s="9" t="s">
        <v>18</v>
      </c>
      <c r="D5" s="5" t="s">
        <v>798</v>
      </c>
      <c r="E5" s="5" t="s">
        <v>106</v>
      </c>
      <c r="G5" s="76"/>
      <c r="H5" s="9" t="s">
        <v>18</v>
      </c>
      <c r="I5" s="5" t="s">
        <v>810</v>
      </c>
      <c r="J5" s="5" t="s">
        <v>118</v>
      </c>
      <c r="L5" s="76"/>
      <c r="M5" s="9" t="s">
        <v>18</v>
      </c>
      <c r="N5" s="5" t="s">
        <v>820</v>
      </c>
      <c r="O5" s="5" t="s">
        <v>130</v>
      </c>
    </row>
    <row r="6" spans="2:15" x14ac:dyDescent="0.4">
      <c r="B6" s="76"/>
      <c r="C6" s="9" t="s">
        <v>20</v>
      </c>
      <c r="D6" s="5" t="s">
        <v>799</v>
      </c>
      <c r="E6" s="5" t="s">
        <v>111</v>
      </c>
      <c r="G6" s="76"/>
      <c r="H6" s="9" t="s">
        <v>20</v>
      </c>
      <c r="I6" s="5" t="s">
        <v>811</v>
      </c>
      <c r="J6" s="5" t="s">
        <v>123</v>
      </c>
      <c r="L6" s="76"/>
      <c r="M6" s="9" t="s">
        <v>20</v>
      </c>
      <c r="N6" s="5" t="s">
        <v>821</v>
      </c>
      <c r="O6" s="5" t="s">
        <v>135</v>
      </c>
    </row>
    <row r="7" spans="2:15" x14ac:dyDescent="0.4">
      <c r="B7" s="76"/>
      <c r="C7" s="9" t="s">
        <v>27</v>
      </c>
      <c r="D7" s="5" t="s">
        <v>800</v>
      </c>
      <c r="E7" s="5" t="s">
        <v>107</v>
      </c>
      <c r="G7" s="76"/>
      <c r="H7" s="9" t="s">
        <v>27</v>
      </c>
      <c r="I7" s="5" t="s">
        <v>812</v>
      </c>
      <c r="J7" s="5" t="s">
        <v>119</v>
      </c>
      <c r="L7" s="76"/>
      <c r="M7" s="9" t="s">
        <v>27</v>
      </c>
      <c r="N7" s="5" t="s">
        <v>822</v>
      </c>
      <c r="O7" s="5" t="s">
        <v>131</v>
      </c>
    </row>
    <row r="8" spans="2:15" x14ac:dyDescent="0.4">
      <c r="B8" s="76"/>
      <c r="C8" s="9" t="s">
        <v>29</v>
      </c>
      <c r="D8" s="5" t="s">
        <v>801</v>
      </c>
      <c r="E8" s="5" t="s">
        <v>109</v>
      </c>
      <c r="G8" s="76"/>
      <c r="H8" s="9" t="s">
        <v>29</v>
      </c>
      <c r="I8" s="5" t="s">
        <v>813</v>
      </c>
      <c r="J8" s="5" t="s">
        <v>121</v>
      </c>
      <c r="L8" s="76"/>
      <c r="M8" s="9" t="s">
        <v>29</v>
      </c>
      <c r="N8" s="5" t="s">
        <v>823</v>
      </c>
      <c r="O8" s="5" t="s">
        <v>133</v>
      </c>
    </row>
    <row r="9" spans="2:15" x14ac:dyDescent="0.4">
      <c r="B9" s="76"/>
      <c r="C9" s="9" t="s">
        <v>28</v>
      </c>
      <c r="D9" s="5" t="s">
        <v>802</v>
      </c>
      <c r="E9" s="5" t="s">
        <v>108</v>
      </c>
      <c r="G9" s="76"/>
      <c r="H9" s="9" t="s">
        <v>28</v>
      </c>
      <c r="I9" s="5" t="s">
        <v>814</v>
      </c>
      <c r="J9" s="5" t="s">
        <v>120</v>
      </c>
      <c r="L9" s="76"/>
      <c r="M9" s="9" t="s">
        <v>28</v>
      </c>
      <c r="N9" s="5" t="s">
        <v>824</v>
      </c>
      <c r="O9" s="5" t="s">
        <v>132</v>
      </c>
    </row>
    <row r="10" spans="2:15" x14ac:dyDescent="0.4">
      <c r="B10" s="76"/>
      <c r="C10" s="13" t="s">
        <v>17</v>
      </c>
      <c r="D10" s="5" t="s">
        <v>803</v>
      </c>
      <c r="E10" s="5" t="s">
        <v>110</v>
      </c>
      <c r="G10" s="76"/>
      <c r="H10" s="13" t="s">
        <v>17</v>
      </c>
      <c r="I10" s="5" t="s">
        <v>815</v>
      </c>
      <c r="J10" s="5" t="s">
        <v>122</v>
      </c>
      <c r="L10" s="76"/>
      <c r="M10" s="13" t="s">
        <v>17</v>
      </c>
      <c r="N10" s="5" t="s">
        <v>825</v>
      </c>
      <c r="O10" s="5" t="s">
        <v>134</v>
      </c>
    </row>
    <row r="11" spans="2:15" x14ac:dyDescent="0.4">
      <c r="B11" s="76"/>
      <c r="C11" s="13" t="s">
        <v>30</v>
      </c>
      <c r="D11" s="5" t="s">
        <v>804</v>
      </c>
      <c r="E11" s="5" t="s">
        <v>113</v>
      </c>
      <c r="G11" s="76"/>
      <c r="H11" s="13" t="s">
        <v>30</v>
      </c>
      <c r="I11" s="5" t="s">
        <v>797</v>
      </c>
      <c r="J11" s="5" t="s">
        <v>125</v>
      </c>
      <c r="L11" s="76"/>
      <c r="M11" s="13" t="s">
        <v>30</v>
      </c>
      <c r="N11" s="5" t="s">
        <v>826</v>
      </c>
      <c r="O11" s="5" t="s">
        <v>137</v>
      </c>
    </row>
    <row r="12" spans="2:15" x14ac:dyDescent="0.4">
      <c r="B12" s="76"/>
      <c r="C12" s="9" t="s">
        <v>24</v>
      </c>
      <c r="D12" s="5" t="s">
        <v>805</v>
      </c>
      <c r="E12" s="5" t="s">
        <v>102</v>
      </c>
      <c r="G12" s="76"/>
      <c r="H12" s="9" t="s">
        <v>24</v>
      </c>
      <c r="I12" s="5" t="s">
        <v>816</v>
      </c>
      <c r="J12" s="5" t="s">
        <v>114</v>
      </c>
      <c r="L12" s="76"/>
      <c r="M12" s="9" t="s">
        <v>24</v>
      </c>
      <c r="N12" s="5" t="s">
        <v>827</v>
      </c>
      <c r="O12" s="5" t="s">
        <v>126</v>
      </c>
    </row>
    <row r="13" spans="2:15" x14ac:dyDescent="0.4">
      <c r="B13" s="76"/>
      <c r="C13" s="9" t="s">
        <v>25</v>
      </c>
      <c r="D13" s="5" t="s">
        <v>806</v>
      </c>
      <c r="E13" s="5" t="s">
        <v>103</v>
      </c>
      <c r="G13" s="76"/>
      <c r="H13" s="9" t="s">
        <v>25</v>
      </c>
      <c r="I13" s="5" t="s">
        <v>817</v>
      </c>
      <c r="J13" s="5" t="s">
        <v>115</v>
      </c>
      <c r="L13" s="76"/>
      <c r="M13" s="9" t="s">
        <v>25</v>
      </c>
      <c r="N13" s="5" t="s">
        <v>828</v>
      </c>
      <c r="O13" s="5" t="s">
        <v>127</v>
      </c>
    </row>
    <row r="14" spans="2:15" x14ac:dyDescent="0.4">
      <c r="B14" s="76"/>
      <c r="C14" s="9" t="s">
        <v>26</v>
      </c>
      <c r="D14" s="5" t="s">
        <v>807</v>
      </c>
      <c r="E14" s="5" t="s">
        <v>104</v>
      </c>
      <c r="G14" s="76"/>
      <c r="H14" s="9" t="s">
        <v>26</v>
      </c>
      <c r="I14" s="5" t="s">
        <v>818</v>
      </c>
      <c r="J14" s="5" t="s">
        <v>116</v>
      </c>
      <c r="L14" s="76"/>
      <c r="M14" s="9" t="s">
        <v>26</v>
      </c>
      <c r="N14" s="5" t="s">
        <v>829</v>
      </c>
      <c r="O14" s="5" t="s">
        <v>128</v>
      </c>
    </row>
    <row r="15" spans="2:15" ht="19.5" thickBot="1" x14ac:dyDescent="0.45">
      <c r="B15" s="77"/>
      <c r="C15" s="11" t="s">
        <v>19</v>
      </c>
      <c r="D15" s="5" t="s">
        <v>808</v>
      </c>
      <c r="E15" s="5" t="s">
        <v>105</v>
      </c>
      <c r="G15" s="77"/>
      <c r="H15" s="11" t="s">
        <v>19</v>
      </c>
      <c r="I15" s="5" t="s">
        <v>819</v>
      </c>
      <c r="J15" s="5" t="s">
        <v>117</v>
      </c>
      <c r="L15" s="77"/>
      <c r="M15" s="11" t="s">
        <v>19</v>
      </c>
      <c r="N15" s="5" t="s">
        <v>830</v>
      </c>
      <c r="O15" s="5" t="s">
        <v>129</v>
      </c>
    </row>
    <row r="20" ht="18.75" customHeight="1" x14ac:dyDescent="0.4"/>
  </sheetData>
  <autoFilter ref="H3:K15" xr:uid="{C241737B-7476-4D38-9495-97858B2868C6}">
    <sortState ref="H4:K15">
      <sortCondition ref="I3:I15"/>
    </sortState>
  </autoFilter>
  <sortState ref="M5:O15">
    <sortCondition ref="M4"/>
  </sortState>
  <mergeCells count="3">
    <mergeCell ref="L4:L15"/>
    <mergeCell ref="B4:B15"/>
    <mergeCell ref="G4:G15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68DF3-257B-4936-BAC1-0A7EAF5671A9}">
  <sheetPr codeName="Sheet5"/>
  <dimension ref="A1:E38"/>
  <sheetViews>
    <sheetView topLeftCell="B1" workbookViewId="0">
      <selection activeCell="A13" sqref="A13"/>
    </sheetView>
  </sheetViews>
  <sheetFormatPr defaultRowHeight="18.75" x14ac:dyDescent="0.4"/>
  <cols>
    <col min="1" max="1" width="11" bestFit="1" customWidth="1"/>
    <col min="2" max="2" width="19" bestFit="1" customWidth="1"/>
    <col min="3" max="3" width="19.75" bestFit="1" customWidth="1"/>
    <col min="4" max="4" width="12.25" bestFit="1" customWidth="1"/>
    <col min="5" max="5" width="12.375" bestFit="1" customWidth="1"/>
  </cols>
  <sheetData>
    <row r="1" spans="1:5" x14ac:dyDescent="0.4">
      <c r="A1" s="1" t="s">
        <v>709</v>
      </c>
      <c r="B1" s="1" t="str">
        <f>(集計!G6)</f>
        <v>㈱ナチュラリ様　10月2日-5日売上明細</v>
      </c>
      <c r="C1" t="s">
        <v>898</v>
      </c>
      <c r="D1">
        <f>(集計!H6)</f>
        <v>20171102</v>
      </c>
    </row>
    <row r="2" spans="1:5" ht="19.5" thickBot="1" x14ac:dyDescent="0.45">
      <c r="C2" s="1" t="s">
        <v>0</v>
      </c>
      <c r="D2" s="1" t="s">
        <v>1</v>
      </c>
      <c r="E2" s="1" t="s">
        <v>32</v>
      </c>
    </row>
    <row r="3" spans="1:5" x14ac:dyDescent="0.4">
      <c r="B3" s="79" t="s">
        <v>33</v>
      </c>
      <c r="C3" s="4" t="s">
        <v>34</v>
      </c>
      <c r="D3" s="5" t="s">
        <v>736</v>
      </c>
      <c r="E3" s="60" t="s">
        <v>462</v>
      </c>
    </row>
    <row r="4" spans="1:5" ht="19.5" thickBot="1" x14ac:dyDescent="0.45">
      <c r="B4" s="81"/>
      <c r="C4" s="6" t="s">
        <v>35</v>
      </c>
      <c r="D4" s="5" t="s">
        <v>737</v>
      </c>
      <c r="E4" s="60" t="s">
        <v>463</v>
      </c>
    </row>
    <row r="5" spans="1:5" x14ac:dyDescent="0.4">
      <c r="B5" s="79" t="s">
        <v>36</v>
      </c>
      <c r="C5" s="16" t="s">
        <v>4</v>
      </c>
      <c r="D5" s="5" t="s">
        <v>738</v>
      </c>
      <c r="E5" s="60" t="s">
        <v>496</v>
      </c>
    </row>
    <row r="6" spans="1:5" x14ac:dyDescent="0.4">
      <c r="B6" s="80"/>
      <c r="C6" s="7" t="s">
        <v>5</v>
      </c>
      <c r="D6" s="5" t="s">
        <v>739</v>
      </c>
      <c r="E6" s="60" t="s">
        <v>497</v>
      </c>
    </row>
    <row r="7" spans="1:5" x14ac:dyDescent="0.4">
      <c r="B7" s="80"/>
      <c r="C7" s="8" t="s">
        <v>6</v>
      </c>
      <c r="D7" s="5" t="s">
        <v>740</v>
      </c>
      <c r="E7" s="60" t="s">
        <v>490</v>
      </c>
    </row>
    <row r="8" spans="1:5" x14ac:dyDescent="0.4">
      <c r="B8" s="80"/>
      <c r="C8" s="8" t="s">
        <v>7</v>
      </c>
      <c r="D8" s="5" t="s">
        <v>741</v>
      </c>
      <c r="E8" s="60" t="s">
        <v>491</v>
      </c>
    </row>
    <row r="9" spans="1:5" x14ac:dyDescent="0.4">
      <c r="B9" s="80"/>
      <c r="C9" s="8" t="s">
        <v>8</v>
      </c>
      <c r="D9" s="5" t="s">
        <v>742</v>
      </c>
      <c r="E9" s="60" t="s">
        <v>492</v>
      </c>
    </row>
    <row r="10" spans="1:5" x14ac:dyDescent="0.4">
      <c r="B10" s="80"/>
      <c r="C10" s="8" t="s">
        <v>9</v>
      </c>
      <c r="D10" s="5" t="s">
        <v>743</v>
      </c>
      <c r="E10" s="60" t="s">
        <v>493</v>
      </c>
    </row>
    <row r="11" spans="1:5" x14ac:dyDescent="0.4">
      <c r="B11" s="80"/>
      <c r="C11" s="8" t="s">
        <v>14</v>
      </c>
      <c r="D11" s="5" t="s">
        <v>744</v>
      </c>
      <c r="E11" s="60" t="s">
        <v>494</v>
      </c>
    </row>
    <row r="12" spans="1:5" ht="19.5" thickBot="1" x14ac:dyDescent="0.45">
      <c r="B12" s="81"/>
      <c r="C12" s="6" t="s">
        <v>15</v>
      </c>
      <c r="D12" s="5" t="s">
        <v>745</v>
      </c>
      <c r="E12" s="60" t="s">
        <v>495</v>
      </c>
    </row>
    <row r="13" spans="1:5" x14ac:dyDescent="0.4">
      <c r="B13" s="75" t="s">
        <v>37</v>
      </c>
      <c r="C13" s="12" t="s">
        <v>17</v>
      </c>
      <c r="D13" s="5" t="s">
        <v>746</v>
      </c>
      <c r="E13" s="60" t="s">
        <v>464</v>
      </c>
    </row>
    <row r="14" spans="1:5" x14ac:dyDescent="0.4">
      <c r="B14" s="76"/>
      <c r="C14" s="9" t="s">
        <v>18</v>
      </c>
      <c r="D14" s="5" t="s">
        <v>747</v>
      </c>
      <c r="E14" s="60" t="s">
        <v>465</v>
      </c>
    </row>
    <row r="15" spans="1:5" x14ac:dyDescent="0.4">
      <c r="B15" s="76"/>
      <c r="C15" s="9" t="s">
        <v>19</v>
      </c>
      <c r="D15" s="5" t="s">
        <v>748</v>
      </c>
      <c r="E15" s="60" t="s">
        <v>466</v>
      </c>
    </row>
    <row r="16" spans="1:5" x14ac:dyDescent="0.4">
      <c r="B16" s="76"/>
      <c r="C16" s="9" t="s">
        <v>20</v>
      </c>
      <c r="D16" s="5" t="s">
        <v>749</v>
      </c>
      <c r="E16" s="60" t="s">
        <v>467</v>
      </c>
    </row>
    <row r="17" spans="2:5" ht="19.5" thickBot="1" x14ac:dyDescent="0.45">
      <c r="B17" s="77"/>
      <c r="C17" s="11" t="s">
        <v>21</v>
      </c>
      <c r="D17" s="5" t="s">
        <v>750</v>
      </c>
      <c r="E17" s="60" t="s">
        <v>468</v>
      </c>
    </row>
    <row r="18" spans="2:5" x14ac:dyDescent="0.4">
      <c r="B18" s="75" t="s">
        <v>23</v>
      </c>
      <c r="C18" s="12" t="s">
        <v>24</v>
      </c>
      <c r="D18" s="5" t="s">
        <v>751</v>
      </c>
      <c r="E18" s="60" t="s">
        <v>469</v>
      </c>
    </row>
    <row r="19" spans="2:5" x14ac:dyDescent="0.4">
      <c r="B19" s="76"/>
      <c r="C19" s="9" t="s">
        <v>25</v>
      </c>
      <c r="D19" s="5" t="s">
        <v>752</v>
      </c>
      <c r="E19" s="60" t="s">
        <v>470</v>
      </c>
    </row>
    <row r="20" spans="2:5" x14ac:dyDescent="0.4">
      <c r="B20" s="76"/>
      <c r="C20" s="9" t="s">
        <v>26</v>
      </c>
      <c r="D20" s="5" t="s">
        <v>753</v>
      </c>
      <c r="E20" s="60" t="s">
        <v>471</v>
      </c>
    </row>
    <row r="21" spans="2:5" x14ac:dyDescent="0.4">
      <c r="B21" s="76"/>
      <c r="C21" s="9" t="s">
        <v>19</v>
      </c>
      <c r="D21" s="5" t="s">
        <v>754</v>
      </c>
      <c r="E21" s="60" t="s">
        <v>472</v>
      </c>
    </row>
    <row r="22" spans="2:5" x14ac:dyDescent="0.4">
      <c r="B22" s="76"/>
      <c r="C22" s="9" t="s">
        <v>18</v>
      </c>
      <c r="D22" s="5" t="s">
        <v>755</v>
      </c>
      <c r="E22" s="60" t="s">
        <v>473</v>
      </c>
    </row>
    <row r="23" spans="2:5" x14ac:dyDescent="0.4">
      <c r="B23" s="76"/>
      <c r="C23" s="9" t="s">
        <v>27</v>
      </c>
      <c r="D23" s="5" t="s">
        <v>756</v>
      </c>
      <c r="E23" s="60" t="s">
        <v>474</v>
      </c>
    </row>
    <row r="24" spans="2:5" x14ac:dyDescent="0.4">
      <c r="B24" s="76"/>
      <c r="C24" s="13" t="s">
        <v>28</v>
      </c>
      <c r="D24" s="5" t="s">
        <v>757</v>
      </c>
      <c r="E24" s="60" t="s">
        <v>475</v>
      </c>
    </row>
    <row r="25" spans="2:5" x14ac:dyDescent="0.4">
      <c r="B25" s="76"/>
      <c r="C25" s="13" t="s">
        <v>29</v>
      </c>
      <c r="D25" s="5" t="s">
        <v>758</v>
      </c>
      <c r="E25" s="60" t="s">
        <v>476</v>
      </c>
    </row>
    <row r="26" spans="2:5" x14ac:dyDescent="0.4">
      <c r="B26" s="76"/>
      <c r="C26" s="9" t="s">
        <v>17</v>
      </c>
      <c r="D26" s="5" t="s">
        <v>759</v>
      </c>
      <c r="E26" s="60" t="s">
        <v>477</v>
      </c>
    </row>
    <row r="27" spans="2:5" x14ac:dyDescent="0.4">
      <c r="B27" s="76"/>
      <c r="C27" s="9" t="s">
        <v>20</v>
      </c>
      <c r="D27" s="5" t="s">
        <v>760</v>
      </c>
      <c r="E27" s="60" t="s">
        <v>478</v>
      </c>
    </row>
    <row r="28" spans="2:5" x14ac:dyDescent="0.4">
      <c r="B28" s="76"/>
      <c r="C28" s="9" t="s">
        <v>21</v>
      </c>
      <c r="D28" s="5" t="s">
        <v>761</v>
      </c>
      <c r="E28" s="60" t="s">
        <v>479</v>
      </c>
    </row>
    <row r="29" spans="2:5" ht="19.5" thickBot="1" x14ac:dyDescent="0.45">
      <c r="B29" s="77"/>
      <c r="C29" s="11" t="s">
        <v>30</v>
      </c>
      <c r="D29" s="5" t="s">
        <v>762</v>
      </c>
      <c r="E29" s="60" t="s">
        <v>480</v>
      </c>
    </row>
    <row r="30" spans="2:5" x14ac:dyDescent="0.4">
      <c r="B30" s="75" t="s">
        <v>31</v>
      </c>
      <c r="C30" s="4" t="s">
        <v>24</v>
      </c>
      <c r="D30" s="5" t="s">
        <v>763</v>
      </c>
      <c r="E30" s="60" t="s">
        <v>481</v>
      </c>
    </row>
    <row r="31" spans="2:5" x14ac:dyDescent="0.4">
      <c r="B31" s="76"/>
      <c r="C31" s="8" t="s">
        <v>25</v>
      </c>
      <c r="D31" s="5" t="s">
        <v>764</v>
      </c>
      <c r="E31" s="60" t="s">
        <v>482</v>
      </c>
    </row>
    <row r="32" spans="2:5" x14ac:dyDescent="0.4">
      <c r="B32" s="76"/>
      <c r="C32" s="8" t="s">
        <v>26</v>
      </c>
      <c r="D32" s="5" t="s">
        <v>765</v>
      </c>
      <c r="E32" s="60" t="s">
        <v>483</v>
      </c>
    </row>
    <row r="33" spans="2:5" x14ac:dyDescent="0.4">
      <c r="B33" s="76"/>
      <c r="C33" s="9" t="s">
        <v>19</v>
      </c>
      <c r="D33" s="5" t="s">
        <v>766</v>
      </c>
      <c r="E33" s="60" t="s">
        <v>484</v>
      </c>
    </row>
    <row r="34" spans="2:5" x14ac:dyDescent="0.4">
      <c r="B34" s="76"/>
      <c r="C34" s="14" t="s">
        <v>18</v>
      </c>
      <c r="D34" s="5" t="s">
        <v>767</v>
      </c>
      <c r="E34" s="60" t="s">
        <v>485</v>
      </c>
    </row>
    <row r="35" spans="2:5" x14ac:dyDescent="0.4">
      <c r="B35" s="76"/>
      <c r="C35" s="8" t="s">
        <v>27</v>
      </c>
      <c r="D35" s="5" t="s">
        <v>768</v>
      </c>
      <c r="E35" s="60" t="s">
        <v>486</v>
      </c>
    </row>
    <row r="36" spans="2:5" x14ac:dyDescent="0.4">
      <c r="B36" s="76"/>
      <c r="C36" s="8" t="s">
        <v>28</v>
      </c>
      <c r="D36" s="5" t="s">
        <v>769</v>
      </c>
      <c r="E36" s="60" t="s">
        <v>487</v>
      </c>
    </row>
    <row r="37" spans="2:5" x14ac:dyDescent="0.4">
      <c r="B37" s="76"/>
      <c r="C37" s="8" t="s">
        <v>29</v>
      </c>
      <c r="D37" s="5" t="s">
        <v>770</v>
      </c>
      <c r="E37" s="60" t="s">
        <v>488</v>
      </c>
    </row>
    <row r="38" spans="2:5" ht="19.5" thickBot="1" x14ac:dyDescent="0.45">
      <c r="B38" s="77"/>
      <c r="C38" s="11" t="s">
        <v>17</v>
      </c>
      <c r="D38" s="5" t="s">
        <v>771</v>
      </c>
      <c r="E38" s="60" t="s">
        <v>489</v>
      </c>
    </row>
  </sheetData>
  <mergeCells count="5">
    <mergeCell ref="B3:B4"/>
    <mergeCell ref="B5:B12"/>
    <mergeCell ref="B13:B17"/>
    <mergeCell ref="B18:B29"/>
    <mergeCell ref="B30:B38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3482-DC7C-43EE-ADDC-4C44573C74E9}">
  <sheetPr codeName="Sheet7"/>
  <dimension ref="A1:E35"/>
  <sheetViews>
    <sheetView topLeftCell="B1" workbookViewId="0">
      <selection activeCell="C37" sqref="C37"/>
    </sheetView>
  </sheetViews>
  <sheetFormatPr defaultRowHeight="18.75" x14ac:dyDescent="0.4"/>
  <cols>
    <col min="1" max="1" width="11" bestFit="1" customWidth="1"/>
    <col min="2" max="2" width="21.25" bestFit="1" customWidth="1"/>
    <col min="3" max="3" width="19.25" customWidth="1"/>
    <col min="4" max="4" width="12.25" bestFit="1" customWidth="1"/>
    <col min="5" max="5" width="12.375" bestFit="1" customWidth="1"/>
  </cols>
  <sheetData>
    <row r="1" spans="1:5" ht="27" customHeight="1" x14ac:dyDescent="0.4">
      <c r="A1" s="1" t="s">
        <v>709</v>
      </c>
      <c r="B1" s="1" t="str">
        <f>(集計!G7)</f>
        <v>サンプル_2017年9月</v>
      </c>
      <c r="C1" t="s">
        <v>898</v>
      </c>
      <c r="D1">
        <f>(集計!H7)</f>
        <v>1709</v>
      </c>
    </row>
    <row r="2" spans="1:5" ht="19.5" thickBot="1" x14ac:dyDescent="0.45">
      <c r="C2" s="1" t="s">
        <v>0</v>
      </c>
      <c r="D2" s="1" t="s">
        <v>1</v>
      </c>
      <c r="E2" s="1" t="s">
        <v>32</v>
      </c>
    </row>
    <row r="3" spans="1:5" ht="19.5" thickBot="1" x14ac:dyDescent="0.45">
      <c r="B3" s="3" t="s">
        <v>33</v>
      </c>
      <c r="C3" s="4" t="s">
        <v>34</v>
      </c>
      <c r="D3" s="5" t="s">
        <v>66</v>
      </c>
      <c r="E3" s="5" t="s">
        <v>941</v>
      </c>
    </row>
    <row r="4" spans="1:5" x14ac:dyDescent="0.4">
      <c r="B4" s="79" t="s">
        <v>36</v>
      </c>
      <c r="C4" s="16" t="s">
        <v>4</v>
      </c>
      <c r="D4" s="5" t="s">
        <v>61</v>
      </c>
      <c r="E4" s="5" t="s">
        <v>937</v>
      </c>
    </row>
    <row r="5" spans="1:5" x14ac:dyDescent="0.4">
      <c r="B5" s="80"/>
      <c r="C5" s="7" t="s">
        <v>5</v>
      </c>
      <c r="D5" s="5" t="s">
        <v>65</v>
      </c>
      <c r="E5" s="5" t="s">
        <v>938</v>
      </c>
    </row>
    <row r="6" spans="1:5" x14ac:dyDescent="0.4">
      <c r="B6" s="80"/>
      <c r="C6" s="8" t="s">
        <v>6</v>
      </c>
      <c r="D6" s="5" t="s">
        <v>58</v>
      </c>
      <c r="E6" s="5" t="s">
        <v>939</v>
      </c>
    </row>
    <row r="7" spans="1:5" x14ac:dyDescent="0.4">
      <c r="B7" s="80"/>
      <c r="C7" s="8" t="s">
        <v>7</v>
      </c>
      <c r="D7" s="5" t="s">
        <v>62</v>
      </c>
      <c r="E7" s="5" t="s">
        <v>935</v>
      </c>
    </row>
    <row r="8" spans="1:5" x14ac:dyDescent="0.4">
      <c r="B8" s="80"/>
      <c r="C8" s="8" t="s">
        <v>8</v>
      </c>
      <c r="D8" s="5" t="s">
        <v>59</v>
      </c>
      <c r="E8" s="5" t="s">
        <v>936</v>
      </c>
    </row>
    <row r="9" spans="1:5" x14ac:dyDescent="0.4">
      <c r="B9" s="80"/>
      <c r="C9" s="8" t="s">
        <v>9</v>
      </c>
      <c r="D9" s="5" t="s">
        <v>63</v>
      </c>
      <c r="E9" s="5" t="s">
        <v>940</v>
      </c>
    </row>
    <row r="10" spans="1:5" x14ac:dyDescent="0.4">
      <c r="B10" s="80"/>
      <c r="C10" s="9" t="s">
        <v>10</v>
      </c>
      <c r="D10" s="5" t="s">
        <v>67</v>
      </c>
      <c r="E10" s="5" t="s">
        <v>942</v>
      </c>
    </row>
    <row r="11" spans="1:5" x14ac:dyDescent="0.4">
      <c r="B11" s="80"/>
      <c r="C11" s="9" t="s">
        <v>11</v>
      </c>
      <c r="D11" s="5" t="s">
        <v>69</v>
      </c>
      <c r="E11" s="5" t="s">
        <v>943</v>
      </c>
    </row>
    <row r="12" spans="1:5" x14ac:dyDescent="0.4">
      <c r="B12" s="80"/>
      <c r="C12" s="9" t="s">
        <v>12</v>
      </c>
      <c r="D12" s="5" t="s">
        <v>68</v>
      </c>
      <c r="E12" s="5" t="s">
        <v>944</v>
      </c>
    </row>
    <row r="13" spans="1:5" x14ac:dyDescent="0.4">
      <c r="B13" s="80"/>
      <c r="C13" s="9" t="s">
        <v>13</v>
      </c>
      <c r="D13" s="5" t="s">
        <v>70</v>
      </c>
      <c r="E13" s="5" t="s">
        <v>945</v>
      </c>
    </row>
    <row r="14" spans="1:5" x14ac:dyDescent="0.4">
      <c r="B14" s="80"/>
      <c r="C14" s="8" t="s">
        <v>14</v>
      </c>
      <c r="D14" s="5" t="s">
        <v>60</v>
      </c>
      <c r="E14" s="5" t="s">
        <v>946</v>
      </c>
    </row>
    <row r="15" spans="1:5" ht="19.5" thickBot="1" x14ac:dyDescent="0.45">
      <c r="B15" s="81"/>
      <c r="C15" s="6" t="s">
        <v>15</v>
      </c>
      <c r="D15" s="5" t="s">
        <v>64</v>
      </c>
      <c r="E15" s="5" t="s">
        <v>947</v>
      </c>
    </row>
    <row r="16" spans="1:5" x14ac:dyDescent="0.4">
      <c r="B16" s="75" t="s">
        <v>37</v>
      </c>
      <c r="C16" s="12" t="s">
        <v>17</v>
      </c>
      <c r="D16" s="5" t="s">
        <v>38</v>
      </c>
      <c r="E16" s="5" t="s">
        <v>689</v>
      </c>
    </row>
    <row r="17" spans="2:5" x14ac:dyDescent="0.4">
      <c r="B17" s="76"/>
      <c r="C17" s="9" t="s">
        <v>18</v>
      </c>
      <c r="D17" s="5" t="s">
        <v>39</v>
      </c>
      <c r="E17" s="5" t="s">
        <v>690</v>
      </c>
    </row>
    <row r="18" spans="2:5" x14ac:dyDescent="0.4">
      <c r="B18" s="76"/>
      <c r="C18" s="9" t="s">
        <v>19</v>
      </c>
      <c r="D18" s="5" t="s">
        <v>40</v>
      </c>
      <c r="E18" s="5" t="s">
        <v>691</v>
      </c>
    </row>
    <row r="19" spans="2:5" x14ac:dyDescent="0.4">
      <c r="B19" s="76"/>
      <c r="C19" s="9" t="s">
        <v>20</v>
      </c>
      <c r="D19" s="5" t="s">
        <v>41</v>
      </c>
      <c r="E19" s="5" t="s">
        <v>692</v>
      </c>
    </row>
    <row r="20" spans="2:5" ht="19.5" thickBot="1" x14ac:dyDescent="0.45">
      <c r="B20" s="77"/>
      <c r="C20" s="11" t="s">
        <v>21</v>
      </c>
      <c r="D20" s="5" t="s">
        <v>42</v>
      </c>
      <c r="E20" s="5" t="s">
        <v>693</v>
      </c>
    </row>
    <row r="21" spans="2:5" x14ac:dyDescent="0.4">
      <c r="B21" s="75" t="s">
        <v>23</v>
      </c>
      <c r="C21" s="12" t="s">
        <v>24</v>
      </c>
      <c r="D21" s="5" t="s">
        <v>43</v>
      </c>
      <c r="E21" s="5" t="s">
        <v>694</v>
      </c>
    </row>
    <row r="22" spans="2:5" x14ac:dyDescent="0.4">
      <c r="B22" s="76"/>
      <c r="C22" s="9" t="s">
        <v>25</v>
      </c>
      <c r="D22" s="5" t="s">
        <v>44</v>
      </c>
      <c r="E22" s="5" t="s">
        <v>695</v>
      </c>
    </row>
    <row r="23" spans="2:5" x14ac:dyDescent="0.4">
      <c r="B23" s="76"/>
      <c r="C23" s="9" t="s">
        <v>26</v>
      </c>
      <c r="D23" s="5" t="s">
        <v>45</v>
      </c>
      <c r="E23" s="5" t="s">
        <v>696</v>
      </c>
    </row>
    <row r="24" spans="2:5" x14ac:dyDescent="0.4">
      <c r="B24" s="76"/>
      <c r="C24" s="9" t="s">
        <v>19</v>
      </c>
      <c r="D24" s="5" t="s">
        <v>46</v>
      </c>
      <c r="E24" s="5" t="s">
        <v>697</v>
      </c>
    </row>
    <row r="25" spans="2:5" x14ac:dyDescent="0.4">
      <c r="B25" s="76"/>
      <c r="C25" s="9" t="s">
        <v>18</v>
      </c>
      <c r="D25" s="5" t="s">
        <v>47</v>
      </c>
      <c r="E25" s="5" t="s">
        <v>698</v>
      </c>
    </row>
    <row r="26" spans="2:5" x14ac:dyDescent="0.4">
      <c r="B26" s="76"/>
      <c r="C26" s="9" t="s">
        <v>27</v>
      </c>
      <c r="D26" s="5" t="s">
        <v>48</v>
      </c>
      <c r="E26" s="5" t="s">
        <v>699</v>
      </c>
    </row>
    <row r="27" spans="2:5" x14ac:dyDescent="0.4">
      <c r="B27" s="76"/>
      <c r="C27" s="13" t="s">
        <v>28</v>
      </c>
      <c r="D27" s="5" t="s">
        <v>49</v>
      </c>
      <c r="E27" s="5" t="s">
        <v>700</v>
      </c>
    </row>
    <row r="28" spans="2:5" x14ac:dyDescent="0.4">
      <c r="B28" s="76"/>
      <c r="C28" s="13" t="s">
        <v>29</v>
      </c>
      <c r="D28" s="5" t="s">
        <v>50</v>
      </c>
      <c r="E28" s="5" t="s">
        <v>701</v>
      </c>
    </row>
    <row r="29" spans="2:5" x14ac:dyDescent="0.4">
      <c r="B29" s="76"/>
      <c r="C29" s="9" t="s">
        <v>17</v>
      </c>
      <c r="D29" s="5" t="s">
        <v>51</v>
      </c>
      <c r="E29" s="5" t="s">
        <v>702</v>
      </c>
    </row>
    <row r="30" spans="2:5" x14ac:dyDescent="0.4">
      <c r="B30" s="76"/>
      <c r="C30" s="9" t="s">
        <v>20</v>
      </c>
      <c r="D30" s="5" t="s">
        <v>52</v>
      </c>
      <c r="E30" s="5" t="s">
        <v>703</v>
      </c>
    </row>
    <row r="31" spans="2:5" x14ac:dyDescent="0.4">
      <c r="B31" s="76"/>
      <c r="C31" s="9" t="s">
        <v>21</v>
      </c>
      <c r="D31" s="5" t="s">
        <v>53</v>
      </c>
      <c r="E31" s="5" t="s">
        <v>704</v>
      </c>
    </row>
    <row r="32" spans="2:5" ht="19.5" thickBot="1" x14ac:dyDescent="0.45">
      <c r="B32" s="77"/>
      <c r="C32" s="11" t="s">
        <v>30</v>
      </c>
      <c r="D32" s="5" t="s">
        <v>54</v>
      </c>
      <c r="E32" s="5" t="s">
        <v>705</v>
      </c>
    </row>
    <row r="33" spans="2:5" x14ac:dyDescent="0.4">
      <c r="B33" s="76"/>
      <c r="C33" s="9" t="s">
        <v>19</v>
      </c>
      <c r="D33" s="5" t="s">
        <v>57</v>
      </c>
      <c r="E33" s="5" t="s">
        <v>706</v>
      </c>
    </row>
    <row r="34" spans="2:5" x14ac:dyDescent="0.4">
      <c r="B34" s="76"/>
      <c r="C34" s="14" t="s">
        <v>18</v>
      </c>
      <c r="D34" s="5" t="s">
        <v>56</v>
      </c>
      <c r="E34" s="5" t="s">
        <v>707</v>
      </c>
    </row>
    <row r="35" spans="2:5" ht="19.5" thickBot="1" x14ac:dyDescent="0.45">
      <c r="B35" s="77"/>
      <c r="C35" s="11" t="s">
        <v>17</v>
      </c>
      <c r="D35" s="5" t="s">
        <v>55</v>
      </c>
      <c r="E35" s="5" t="s">
        <v>708</v>
      </c>
    </row>
  </sheetData>
  <mergeCells count="4">
    <mergeCell ref="B4:B15"/>
    <mergeCell ref="B16:B20"/>
    <mergeCell ref="B21:B32"/>
    <mergeCell ref="B33:B35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3380F-7E6F-48CD-92BE-0CF5C4D97EAA}">
  <sheetPr codeName="Sheet20"/>
  <dimension ref="A1:E14"/>
  <sheetViews>
    <sheetView topLeftCell="B1" workbookViewId="0">
      <selection activeCell="D1" sqref="D1"/>
    </sheetView>
  </sheetViews>
  <sheetFormatPr defaultRowHeight="18.75" x14ac:dyDescent="0.4"/>
  <cols>
    <col min="1" max="1" width="11" bestFit="1" customWidth="1"/>
    <col min="2" max="2" width="24.75" bestFit="1" customWidth="1"/>
    <col min="3" max="3" width="20.625" bestFit="1" customWidth="1"/>
    <col min="4" max="5" width="13" bestFit="1" customWidth="1"/>
  </cols>
  <sheetData>
    <row r="1" spans="1:5" x14ac:dyDescent="0.4">
      <c r="A1" s="1" t="s">
        <v>709</v>
      </c>
      <c r="B1" s="1" t="str">
        <f>(集計!G8)</f>
        <v>中央コンタクト・メアシス集計</v>
      </c>
      <c r="C1" s="1" t="s">
        <v>898</v>
      </c>
      <c r="D1" s="1" t="str">
        <f>(集計!H8)</f>
        <v>トライアル</v>
      </c>
    </row>
    <row r="2" spans="1:5" ht="19.5" thickBot="1" x14ac:dyDescent="0.45">
      <c r="C2" s="1" t="s">
        <v>0</v>
      </c>
      <c r="D2" s="1" t="s">
        <v>1</v>
      </c>
      <c r="E2" s="1" t="s">
        <v>32</v>
      </c>
    </row>
    <row r="3" spans="1:5" x14ac:dyDescent="0.4">
      <c r="B3" s="75" t="s">
        <v>23</v>
      </c>
      <c r="C3" s="12" t="s">
        <v>24</v>
      </c>
      <c r="D3" s="5" t="s">
        <v>718</v>
      </c>
      <c r="E3" s="5" t="s">
        <v>722</v>
      </c>
    </row>
    <row r="4" spans="1:5" x14ac:dyDescent="0.4">
      <c r="B4" s="76"/>
      <c r="C4" s="9" t="s">
        <v>25</v>
      </c>
      <c r="D4" s="5" t="s">
        <v>719</v>
      </c>
      <c r="E4" s="5" t="s">
        <v>723</v>
      </c>
    </row>
    <row r="5" spans="1:5" x14ac:dyDescent="0.4">
      <c r="B5" s="76"/>
      <c r="C5" s="9" t="s">
        <v>26</v>
      </c>
      <c r="D5" s="5" t="s">
        <v>720</v>
      </c>
      <c r="E5" s="5" t="s">
        <v>724</v>
      </c>
    </row>
    <row r="6" spans="1:5" x14ac:dyDescent="0.4">
      <c r="B6" s="76"/>
      <c r="C6" s="9" t="s">
        <v>19</v>
      </c>
      <c r="D6" s="5" t="s">
        <v>721</v>
      </c>
      <c r="E6" s="5" t="s">
        <v>725</v>
      </c>
    </row>
    <row r="7" spans="1:5" x14ac:dyDescent="0.4">
      <c r="B7" s="76"/>
      <c r="C7" s="9" t="s">
        <v>18</v>
      </c>
      <c r="D7" s="5" t="s">
        <v>711</v>
      </c>
      <c r="E7" s="5" t="s">
        <v>726</v>
      </c>
    </row>
    <row r="8" spans="1:5" x14ac:dyDescent="0.4">
      <c r="B8" s="76"/>
      <c r="C8" s="9" t="s">
        <v>27</v>
      </c>
      <c r="D8" s="5" t="s">
        <v>713</v>
      </c>
      <c r="E8" s="5" t="s">
        <v>727</v>
      </c>
    </row>
    <row r="9" spans="1:5" x14ac:dyDescent="0.4">
      <c r="B9" s="76"/>
      <c r="C9" s="13" t="s">
        <v>28</v>
      </c>
      <c r="D9" s="5" t="s">
        <v>715</v>
      </c>
      <c r="E9" s="5" t="s">
        <v>728</v>
      </c>
    </row>
    <row r="10" spans="1:5" x14ac:dyDescent="0.4">
      <c r="B10" s="76"/>
      <c r="C10" s="13" t="s">
        <v>29</v>
      </c>
      <c r="D10" s="5" t="s">
        <v>714</v>
      </c>
      <c r="E10" s="5" t="s">
        <v>729</v>
      </c>
    </row>
    <row r="11" spans="1:5" x14ac:dyDescent="0.4">
      <c r="B11" s="76"/>
      <c r="C11" s="9" t="s">
        <v>17</v>
      </c>
      <c r="D11" s="5" t="s">
        <v>716</v>
      </c>
      <c r="E11" s="5" t="s">
        <v>730</v>
      </c>
    </row>
    <row r="12" spans="1:5" x14ac:dyDescent="0.4">
      <c r="B12" s="76"/>
      <c r="C12" s="9" t="s">
        <v>20</v>
      </c>
      <c r="D12" s="5" t="s">
        <v>712</v>
      </c>
      <c r="E12" s="5" t="s">
        <v>731</v>
      </c>
    </row>
    <row r="13" spans="1:5" x14ac:dyDescent="0.4">
      <c r="B13" s="76"/>
      <c r="C13" s="9" t="s">
        <v>21</v>
      </c>
      <c r="D13" s="5" t="s">
        <v>710</v>
      </c>
      <c r="E13" s="5" t="s">
        <v>732</v>
      </c>
    </row>
    <row r="14" spans="1:5" ht="19.5" thickBot="1" x14ac:dyDescent="0.45">
      <c r="B14" s="77"/>
      <c r="C14" s="11" t="s">
        <v>30</v>
      </c>
      <c r="D14" s="5" t="s">
        <v>717</v>
      </c>
      <c r="E14" s="5" t="s">
        <v>733</v>
      </c>
    </row>
  </sheetData>
  <mergeCells count="1">
    <mergeCell ref="B3:B1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5590-7278-45BB-BF89-101E06D6A78F}">
  <sheetPr codeName="Sheet21"/>
  <dimension ref="A2:F9"/>
  <sheetViews>
    <sheetView workbookViewId="0">
      <selection activeCell="H8" sqref="H8"/>
    </sheetView>
  </sheetViews>
  <sheetFormatPr defaultRowHeight="18.75" x14ac:dyDescent="0.4"/>
  <cols>
    <col min="1" max="1" width="11" bestFit="1" customWidth="1"/>
    <col min="2" max="2" width="26.375" bestFit="1" customWidth="1"/>
    <col min="3" max="3" width="13.625" bestFit="1" customWidth="1"/>
    <col min="4" max="6" width="13" bestFit="1" customWidth="1"/>
    <col min="9" max="9" width="13.625" bestFit="1" customWidth="1"/>
  </cols>
  <sheetData>
    <row r="2" spans="1:6" x14ac:dyDescent="0.4">
      <c r="A2" s="1" t="s">
        <v>709</v>
      </c>
      <c r="B2" s="1" t="str">
        <f>(集計!G9)</f>
        <v>ナチュラリ在庫1day_DIA140_10枚</v>
      </c>
    </row>
    <row r="3" spans="1:6" ht="19.5" thickBot="1" x14ac:dyDescent="0.45">
      <c r="C3" s="15" t="s">
        <v>0</v>
      </c>
      <c r="D3" s="15" t="s">
        <v>1</v>
      </c>
      <c r="E3" s="15" t="s">
        <v>2</v>
      </c>
      <c r="F3" s="15" t="s">
        <v>32</v>
      </c>
    </row>
    <row r="4" spans="1:6" x14ac:dyDescent="0.4">
      <c r="B4" s="79" t="s">
        <v>16</v>
      </c>
      <c r="C4" s="29" t="s">
        <v>138</v>
      </c>
      <c r="D4" s="22">
        <v>3</v>
      </c>
      <c r="E4" s="22">
        <v>34</v>
      </c>
      <c r="F4" s="23" t="s">
        <v>948</v>
      </c>
    </row>
    <row r="5" spans="1:6" x14ac:dyDescent="0.4">
      <c r="B5" s="80"/>
      <c r="C5" s="18" t="s">
        <v>140</v>
      </c>
      <c r="D5" s="1">
        <v>3</v>
      </c>
      <c r="E5" s="1">
        <v>34</v>
      </c>
      <c r="F5" s="57" t="s">
        <v>949</v>
      </c>
    </row>
    <row r="6" spans="1:6" x14ac:dyDescent="0.4">
      <c r="B6" s="80"/>
      <c r="C6" s="18" t="s">
        <v>6</v>
      </c>
      <c r="D6" s="1">
        <v>3</v>
      </c>
      <c r="E6" s="1">
        <v>34</v>
      </c>
      <c r="F6" s="34" t="s">
        <v>950</v>
      </c>
    </row>
    <row r="7" spans="1:6" x14ac:dyDescent="0.4">
      <c r="B7" s="80"/>
      <c r="C7" s="38" t="s">
        <v>8</v>
      </c>
      <c r="D7" s="1">
        <v>3</v>
      </c>
      <c r="E7" s="1">
        <v>34</v>
      </c>
      <c r="F7" s="24" t="s">
        <v>951</v>
      </c>
    </row>
    <row r="8" spans="1:6" x14ac:dyDescent="0.4">
      <c r="B8" s="80"/>
      <c r="C8" s="39" t="s">
        <v>14</v>
      </c>
      <c r="D8" s="35">
        <v>3</v>
      </c>
      <c r="E8" s="35">
        <v>34</v>
      </c>
      <c r="F8" s="36" t="s">
        <v>952</v>
      </c>
    </row>
    <row r="9" spans="1:6" ht="19.5" thickBot="1" x14ac:dyDescent="0.45">
      <c r="B9" s="81"/>
      <c r="C9" s="68" t="s">
        <v>4</v>
      </c>
      <c r="D9" s="69">
        <v>3</v>
      </c>
      <c r="E9" s="69">
        <v>34</v>
      </c>
      <c r="F9" s="70" t="s">
        <v>953</v>
      </c>
    </row>
  </sheetData>
  <mergeCells count="1">
    <mergeCell ref="B4:B9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FC8F4-83E2-4EB7-B2E5-8C6ADE09AB33}">
  <sheetPr codeName="Sheet22"/>
  <dimension ref="A2:F15"/>
  <sheetViews>
    <sheetView workbookViewId="0">
      <selection activeCell="J28" sqref="J28"/>
    </sheetView>
  </sheetViews>
  <sheetFormatPr defaultRowHeight="18.75" x14ac:dyDescent="0.4"/>
  <cols>
    <col min="2" max="2" width="26.375" bestFit="1" customWidth="1"/>
    <col min="3" max="3" width="13.625" bestFit="1" customWidth="1"/>
    <col min="4" max="6" width="13" bestFit="1" customWidth="1"/>
  </cols>
  <sheetData>
    <row r="2" spans="1:6" x14ac:dyDescent="0.4">
      <c r="A2" s="1" t="s">
        <v>709</v>
      </c>
      <c r="B2" s="1" t="str">
        <f>(集計!G10)</f>
        <v>ナチュラリ在庫1day_DIA142_10枚</v>
      </c>
    </row>
    <row r="3" spans="1:6" ht="19.5" thickBot="1" x14ac:dyDescent="0.45">
      <c r="C3" s="1" t="s">
        <v>0</v>
      </c>
      <c r="D3" s="1" t="s">
        <v>1</v>
      </c>
      <c r="E3" s="1" t="s">
        <v>2</v>
      </c>
      <c r="F3" s="1" t="s">
        <v>32</v>
      </c>
    </row>
    <row r="4" spans="1:6" ht="19.5" thickBot="1" x14ac:dyDescent="0.45">
      <c r="B4" s="75" t="s">
        <v>23</v>
      </c>
      <c r="C4" s="45" t="s">
        <v>24</v>
      </c>
      <c r="D4" s="22">
        <v>3</v>
      </c>
      <c r="E4" s="22">
        <v>32</v>
      </c>
      <c r="F4" s="23" t="s">
        <v>954</v>
      </c>
    </row>
    <row r="5" spans="1:6" ht="19.5" thickBot="1" x14ac:dyDescent="0.45">
      <c r="B5" s="76"/>
      <c r="C5" s="43" t="s">
        <v>25</v>
      </c>
      <c r="D5" s="22">
        <v>3</v>
      </c>
      <c r="E5" s="22">
        <v>32</v>
      </c>
      <c r="F5" s="24" t="s">
        <v>955</v>
      </c>
    </row>
    <row r="6" spans="1:6" ht="19.5" thickBot="1" x14ac:dyDescent="0.45">
      <c r="B6" s="76"/>
      <c r="C6" s="43" t="s">
        <v>26</v>
      </c>
      <c r="D6" s="22">
        <v>3</v>
      </c>
      <c r="E6" s="22">
        <v>32</v>
      </c>
      <c r="F6" s="24" t="s">
        <v>956</v>
      </c>
    </row>
    <row r="7" spans="1:6" ht="19.5" thickBot="1" x14ac:dyDescent="0.45">
      <c r="B7" s="76"/>
      <c r="C7" s="43" t="s">
        <v>19</v>
      </c>
      <c r="D7" s="22">
        <v>3</v>
      </c>
      <c r="E7" s="22">
        <v>32</v>
      </c>
      <c r="F7" s="24" t="s">
        <v>957</v>
      </c>
    </row>
    <row r="8" spans="1:6" ht="19.5" thickBot="1" x14ac:dyDescent="0.45">
      <c r="B8" s="76"/>
      <c r="C8" s="43" t="s">
        <v>18</v>
      </c>
      <c r="D8" s="22">
        <v>3</v>
      </c>
      <c r="E8" s="22">
        <v>32</v>
      </c>
      <c r="F8" s="24" t="s">
        <v>958</v>
      </c>
    </row>
    <row r="9" spans="1:6" ht="19.5" thickBot="1" x14ac:dyDescent="0.45">
      <c r="B9" s="76"/>
      <c r="C9" s="46" t="s">
        <v>27</v>
      </c>
      <c r="D9" s="22">
        <v>3</v>
      </c>
      <c r="E9" s="22">
        <v>32</v>
      </c>
      <c r="F9" s="36" t="s">
        <v>959</v>
      </c>
    </row>
    <row r="10" spans="1:6" ht="19.5" thickBot="1" x14ac:dyDescent="0.45">
      <c r="B10" s="76"/>
      <c r="C10" s="43" t="s">
        <v>28</v>
      </c>
      <c r="D10" s="22">
        <v>3</v>
      </c>
      <c r="E10" s="22">
        <v>32</v>
      </c>
      <c r="F10" s="24" t="s">
        <v>960</v>
      </c>
    </row>
    <row r="11" spans="1:6" ht="19.5" thickBot="1" x14ac:dyDescent="0.45">
      <c r="B11" s="76"/>
      <c r="C11" s="43" t="s">
        <v>29</v>
      </c>
      <c r="D11" s="22">
        <v>3</v>
      </c>
      <c r="E11" s="22">
        <v>32</v>
      </c>
      <c r="F11" s="24" t="s">
        <v>961</v>
      </c>
    </row>
    <row r="12" spans="1:6" ht="19.5" thickBot="1" x14ac:dyDescent="0.45">
      <c r="B12" s="76"/>
      <c r="C12" s="43" t="s">
        <v>17</v>
      </c>
      <c r="D12" s="22">
        <v>3</v>
      </c>
      <c r="E12" s="22">
        <v>32</v>
      </c>
      <c r="F12" s="24" t="s">
        <v>962</v>
      </c>
    </row>
    <row r="13" spans="1:6" ht="19.5" thickBot="1" x14ac:dyDescent="0.45">
      <c r="B13" s="76"/>
      <c r="C13" s="43" t="s">
        <v>20</v>
      </c>
      <c r="D13" s="22">
        <v>3</v>
      </c>
      <c r="E13" s="22">
        <v>32</v>
      </c>
      <c r="F13" s="24" t="s">
        <v>963</v>
      </c>
    </row>
    <row r="14" spans="1:6" ht="19.5" thickBot="1" x14ac:dyDescent="0.45">
      <c r="B14" s="76"/>
      <c r="C14" s="43" t="s">
        <v>21</v>
      </c>
      <c r="D14" s="22">
        <v>3</v>
      </c>
      <c r="E14" s="22">
        <v>32</v>
      </c>
      <c r="F14" s="24" t="s">
        <v>964</v>
      </c>
    </row>
    <row r="15" spans="1:6" ht="19.5" thickBot="1" x14ac:dyDescent="0.45">
      <c r="B15" s="77"/>
      <c r="C15" s="40" t="s">
        <v>30</v>
      </c>
      <c r="D15" s="22">
        <v>3</v>
      </c>
      <c r="E15" s="22">
        <v>32</v>
      </c>
      <c r="F15" s="27" t="s">
        <v>965</v>
      </c>
    </row>
  </sheetData>
  <mergeCells count="1">
    <mergeCell ref="B4:B15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64BDC-F0AF-4012-819F-C3D9AE37845C}">
  <sheetPr codeName="Sheet23"/>
  <dimension ref="A2:F12"/>
  <sheetViews>
    <sheetView workbookViewId="0">
      <selection sqref="A1:XFD1"/>
    </sheetView>
  </sheetViews>
  <sheetFormatPr defaultRowHeight="18.75" x14ac:dyDescent="0.4"/>
  <cols>
    <col min="2" max="2" width="26.375" bestFit="1" customWidth="1"/>
    <col min="3" max="3" width="13.625" bestFit="1" customWidth="1"/>
    <col min="4" max="6" width="13" bestFit="1" customWidth="1"/>
  </cols>
  <sheetData>
    <row r="2" spans="1:6" x14ac:dyDescent="0.4">
      <c r="A2" s="1" t="s">
        <v>709</v>
      </c>
      <c r="B2" s="1" t="str">
        <f>(集計!G11)</f>
        <v>ナチュラリ在庫1day_DIA142_30枚</v>
      </c>
    </row>
    <row r="3" spans="1:6" ht="19.5" thickBot="1" x14ac:dyDescent="0.45">
      <c r="C3" s="1" t="s">
        <v>0</v>
      </c>
      <c r="D3" s="1" t="s">
        <v>1</v>
      </c>
      <c r="E3" s="1" t="s">
        <v>2</v>
      </c>
      <c r="F3" s="1" t="s">
        <v>32</v>
      </c>
    </row>
    <row r="4" spans="1:6" ht="19.5" thickBot="1" x14ac:dyDescent="0.45">
      <c r="B4" s="75" t="s">
        <v>31</v>
      </c>
      <c r="C4" s="42" t="s">
        <v>24</v>
      </c>
      <c r="D4" s="22">
        <v>3</v>
      </c>
      <c r="E4" s="22">
        <v>32</v>
      </c>
      <c r="F4" s="23" t="s">
        <v>966</v>
      </c>
    </row>
    <row r="5" spans="1:6" ht="19.5" thickBot="1" x14ac:dyDescent="0.45">
      <c r="B5" s="76"/>
      <c r="C5" s="38" t="s">
        <v>25</v>
      </c>
      <c r="D5" s="22">
        <v>3</v>
      </c>
      <c r="E5" s="22">
        <v>32</v>
      </c>
      <c r="F5" s="24" t="s">
        <v>967</v>
      </c>
    </row>
    <row r="6" spans="1:6" ht="19.5" thickBot="1" x14ac:dyDescent="0.45">
      <c r="B6" s="76"/>
      <c r="C6" s="38" t="s">
        <v>26</v>
      </c>
      <c r="D6" s="22">
        <v>3</v>
      </c>
      <c r="E6" s="22">
        <v>32</v>
      </c>
      <c r="F6" s="24" t="s">
        <v>968</v>
      </c>
    </row>
    <row r="7" spans="1:6" ht="19.5" thickBot="1" x14ac:dyDescent="0.45">
      <c r="B7" s="76"/>
      <c r="C7" s="43" t="s">
        <v>19</v>
      </c>
      <c r="D7" s="22">
        <v>3</v>
      </c>
      <c r="E7" s="22">
        <v>32</v>
      </c>
      <c r="F7" s="24" t="s">
        <v>969</v>
      </c>
    </row>
    <row r="8" spans="1:6" ht="19.5" thickBot="1" x14ac:dyDescent="0.45">
      <c r="B8" s="76"/>
      <c r="C8" s="44" t="s">
        <v>18</v>
      </c>
      <c r="D8" s="22">
        <v>3</v>
      </c>
      <c r="E8" s="22">
        <v>32</v>
      </c>
      <c r="F8" s="24" t="s">
        <v>970</v>
      </c>
    </row>
    <row r="9" spans="1:6" ht="19.5" thickBot="1" x14ac:dyDescent="0.45">
      <c r="B9" s="76"/>
      <c r="C9" s="37" t="s">
        <v>27</v>
      </c>
      <c r="D9" s="22">
        <v>3</v>
      </c>
      <c r="E9" s="22">
        <v>32</v>
      </c>
      <c r="F9" s="36" t="s">
        <v>971</v>
      </c>
    </row>
    <row r="10" spans="1:6" ht="19.5" thickBot="1" x14ac:dyDescent="0.45">
      <c r="B10" s="76"/>
      <c r="C10" s="38" t="s">
        <v>28</v>
      </c>
      <c r="D10" s="22">
        <v>3</v>
      </c>
      <c r="E10" s="22">
        <v>32</v>
      </c>
      <c r="F10" s="24" t="s">
        <v>972</v>
      </c>
    </row>
    <row r="11" spans="1:6" ht="19.5" thickBot="1" x14ac:dyDescent="0.45">
      <c r="B11" s="76"/>
      <c r="C11" s="38" t="s">
        <v>29</v>
      </c>
      <c r="D11" s="22">
        <v>3</v>
      </c>
      <c r="E11" s="22">
        <v>32</v>
      </c>
      <c r="F11" s="24" t="s">
        <v>973</v>
      </c>
    </row>
    <row r="12" spans="1:6" ht="19.5" thickBot="1" x14ac:dyDescent="0.45">
      <c r="B12" s="77"/>
      <c r="C12" s="40" t="s">
        <v>142</v>
      </c>
      <c r="D12" s="22">
        <v>3</v>
      </c>
      <c r="E12" s="22">
        <v>32</v>
      </c>
      <c r="F12" s="27" t="s">
        <v>974</v>
      </c>
    </row>
  </sheetData>
  <mergeCells count="1">
    <mergeCell ref="B4:B12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A32A5-28E2-4CD0-A73E-D7DF8175168E}">
  <sheetPr codeName="Sheet24"/>
  <dimension ref="A2:F9"/>
  <sheetViews>
    <sheetView workbookViewId="0">
      <selection sqref="A1:XFD1"/>
    </sheetView>
  </sheetViews>
  <sheetFormatPr defaultRowHeight="18.75" x14ac:dyDescent="0.4"/>
  <cols>
    <col min="2" max="2" width="26.375" bestFit="1" customWidth="1"/>
    <col min="3" max="3" width="13.625" bestFit="1" customWidth="1"/>
    <col min="4" max="6" width="13" bestFit="1" customWidth="1"/>
  </cols>
  <sheetData>
    <row r="2" spans="1:6" x14ac:dyDescent="0.4">
      <c r="A2" s="1" t="s">
        <v>709</v>
      </c>
      <c r="B2" s="1" t="str">
        <f>(集計!G12)</f>
        <v>ナチュラリ在庫1day_DIA145_10枚</v>
      </c>
    </row>
    <row r="3" spans="1:6" x14ac:dyDescent="0.4">
      <c r="C3" s="1" t="s">
        <v>0</v>
      </c>
      <c r="D3" s="1" t="s">
        <v>1</v>
      </c>
      <c r="E3" s="1" t="s">
        <v>2</v>
      </c>
      <c r="F3" s="1" t="s">
        <v>32</v>
      </c>
    </row>
    <row r="4" spans="1:6" x14ac:dyDescent="0.4">
      <c r="B4" s="80"/>
      <c r="C4" s="18" t="s">
        <v>139</v>
      </c>
      <c r="D4" s="1">
        <v>3</v>
      </c>
      <c r="E4" s="1">
        <v>34</v>
      </c>
      <c r="F4" s="24" t="s">
        <v>975</v>
      </c>
    </row>
    <row r="5" spans="1:6" x14ac:dyDescent="0.4">
      <c r="B5" s="80"/>
      <c r="C5" s="18" t="s">
        <v>141</v>
      </c>
      <c r="D5" s="1">
        <v>3</v>
      </c>
      <c r="E5" s="1">
        <v>163</v>
      </c>
      <c r="F5" s="24" t="s">
        <v>976</v>
      </c>
    </row>
    <row r="6" spans="1:6" x14ac:dyDescent="0.4">
      <c r="B6" s="80"/>
      <c r="C6" s="18" t="s">
        <v>7</v>
      </c>
      <c r="D6" s="1">
        <v>3</v>
      </c>
      <c r="E6" s="1">
        <v>227</v>
      </c>
      <c r="F6" s="24" t="s">
        <v>977</v>
      </c>
    </row>
    <row r="7" spans="1:6" x14ac:dyDescent="0.4">
      <c r="B7" s="80"/>
      <c r="C7" s="38" t="s">
        <v>9</v>
      </c>
      <c r="D7" s="1">
        <v>3</v>
      </c>
      <c r="E7" s="1">
        <v>291</v>
      </c>
      <c r="F7" s="24" t="s">
        <v>978</v>
      </c>
    </row>
    <row r="8" spans="1:6" x14ac:dyDescent="0.4">
      <c r="B8" s="80"/>
      <c r="C8" s="38" t="s">
        <v>15</v>
      </c>
      <c r="D8" s="1">
        <v>3</v>
      </c>
      <c r="E8" s="1">
        <v>355</v>
      </c>
      <c r="F8" s="24" t="s">
        <v>979</v>
      </c>
    </row>
    <row r="9" spans="1:6" ht="19.5" thickBot="1" x14ac:dyDescent="0.45">
      <c r="B9" s="81"/>
      <c r="C9" s="30" t="s">
        <v>5</v>
      </c>
      <c r="D9" s="1">
        <v>3</v>
      </c>
      <c r="E9" s="1">
        <v>419</v>
      </c>
      <c r="F9" s="27" t="s">
        <v>980</v>
      </c>
    </row>
  </sheetData>
  <mergeCells count="1">
    <mergeCell ref="B4:B9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FCAF8-5033-4337-8655-C19987301ADF}">
  <sheetPr codeName="Sheet25"/>
  <dimension ref="A2:F5"/>
  <sheetViews>
    <sheetView workbookViewId="0">
      <selection sqref="A1:XFD1"/>
    </sheetView>
  </sheetViews>
  <sheetFormatPr defaultRowHeight="18.75" x14ac:dyDescent="0.4"/>
  <cols>
    <col min="3" max="6" width="13" bestFit="1" customWidth="1"/>
  </cols>
  <sheetData>
    <row r="2" spans="1:6" x14ac:dyDescent="0.4">
      <c r="A2" s="1" t="s">
        <v>709</v>
      </c>
      <c r="B2" s="1" t="str">
        <f>(集計!G13)</f>
        <v>ナチュラリ在庫1day_クリア</v>
      </c>
    </row>
    <row r="3" spans="1:6" x14ac:dyDescent="0.4">
      <c r="C3" s="1" t="s">
        <v>0</v>
      </c>
      <c r="D3" s="1" t="s">
        <v>1</v>
      </c>
      <c r="E3" s="1" t="s">
        <v>2</v>
      </c>
      <c r="F3" s="1" t="s">
        <v>32</v>
      </c>
    </row>
    <row r="4" spans="1:6" x14ac:dyDescent="0.4">
      <c r="C4" s="15" t="s">
        <v>3</v>
      </c>
      <c r="D4" s="15">
        <v>3</v>
      </c>
      <c r="E4" s="15">
        <v>33</v>
      </c>
      <c r="F4" s="15" t="s">
        <v>981</v>
      </c>
    </row>
    <row r="5" spans="1:6" x14ac:dyDescent="0.4">
      <c r="C5" s="1" t="s">
        <v>734</v>
      </c>
      <c r="D5" s="1">
        <v>3</v>
      </c>
      <c r="E5" s="1">
        <v>33</v>
      </c>
      <c r="F5" s="1" t="s">
        <v>982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FDB47-7421-42BD-AC7C-2E646CAF28FF}">
  <sheetPr codeName="Sheet26"/>
  <dimension ref="A2:F8"/>
  <sheetViews>
    <sheetView workbookViewId="0">
      <selection activeCell="I14" sqref="I14"/>
    </sheetView>
  </sheetViews>
  <sheetFormatPr defaultRowHeight="18.75" x14ac:dyDescent="0.4"/>
  <cols>
    <col min="1" max="1" width="11" bestFit="1" customWidth="1"/>
    <col min="2" max="2" width="19.125" bestFit="1" customWidth="1"/>
    <col min="3" max="3" width="7.125" bestFit="1" customWidth="1"/>
    <col min="4" max="6" width="13" bestFit="1" customWidth="1"/>
  </cols>
  <sheetData>
    <row r="2" spans="1:6" x14ac:dyDescent="0.4">
      <c r="A2" s="1" t="s">
        <v>709</v>
      </c>
      <c r="B2" s="1" t="str">
        <f>(集計!G14)</f>
        <v>ナチュラリ在庫1month</v>
      </c>
    </row>
    <row r="3" spans="1:6" ht="19.5" thickBot="1" x14ac:dyDescent="0.45">
      <c r="C3" s="1" t="s">
        <v>0</v>
      </c>
      <c r="D3" s="1" t="s">
        <v>1</v>
      </c>
      <c r="E3" s="1" t="s">
        <v>2</v>
      </c>
      <c r="F3" s="1" t="s">
        <v>32</v>
      </c>
    </row>
    <row r="4" spans="1:6" ht="19.5" thickBot="1" x14ac:dyDescent="0.45">
      <c r="B4" s="79" t="s">
        <v>22</v>
      </c>
      <c r="C4" s="45" t="s">
        <v>17</v>
      </c>
      <c r="D4" s="22">
        <v>3</v>
      </c>
      <c r="E4" s="22">
        <v>34</v>
      </c>
      <c r="F4" s="23" t="s">
        <v>983</v>
      </c>
    </row>
    <row r="5" spans="1:6" ht="19.5" thickBot="1" x14ac:dyDescent="0.45">
      <c r="B5" s="80"/>
      <c r="C5" s="43" t="s">
        <v>18</v>
      </c>
      <c r="D5" s="22">
        <v>3</v>
      </c>
      <c r="E5" s="22">
        <v>34</v>
      </c>
      <c r="F5" s="24" t="s">
        <v>984</v>
      </c>
    </row>
    <row r="6" spans="1:6" ht="19.5" thickBot="1" x14ac:dyDescent="0.45">
      <c r="B6" s="80"/>
      <c r="C6" s="43" t="s">
        <v>19</v>
      </c>
      <c r="D6" s="22">
        <v>3</v>
      </c>
      <c r="E6" s="22">
        <v>34</v>
      </c>
      <c r="F6" s="24" t="s">
        <v>985</v>
      </c>
    </row>
    <row r="7" spans="1:6" ht="19.5" thickBot="1" x14ac:dyDescent="0.45">
      <c r="B7" s="80"/>
      <c r="C7" s="43" t="s">
        <v>20</v>
      </c>
      <c r="D7" s="22">
        <v>3</v>
      </c>
      <c r="E7" s="22">
        <v>34</v>
      </c>
      <c r="F7" s="24" t="s">
        <v>986</v>
      </c>
    </row>
    <row r="8" spans="1:6" ht="19.5" thickBot="1" x14ac:dyDescent="0.45">
      <c r="B8" s="81"/>
      <c r="C8" s="40" t="s">
        <v>21</v>
      </c>
      <c r="D8" s="61">
        <v>3</v>
      </c>
      <c r="E8" s="61">
        <v>34</v>
      </c>
      <c r="F8" s="27" t="s">
        <v>987</v>
      </c>
    </row>
  </sheetData>
  <mergeCells count="1">
    <mergeCell ref="B4:B8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7769-B9AC-434D-97D0-59CE8E8E4516}">
  <sheetPr codeName="Sheet10"/>
  <dimension ref="B1:G77"/>
  <sheetViews>
    <sheetView workbookViewId="0">
      <selection activeCell="G7" sqref="G7"/>
    </sheetView>
  </sheetViews>
  <sheetFormatPr defaultRowHeight="18.75" x14ac:dyDescent="0.4"/>
  <cols>
    <col min="2" max="2" width="26.375" bestFit="1" customWidth="1"/>
    <col min="3" max="3" width="19.25" bestFit="1" customWidth="1"/>
    <col min="4" max="4" width="13" bestFit="1" customWidth="1"/>
    <col min="5" max="5" width="17.25" bestFit="1" customWidth="1"/>
    <col min="6" max="6" width="7.125" bestFit="1" customWidth="1"/>
    <col min="7" max="7" width="15.125" bestFit="1" customWidth="1"/>
    <col min="8" max="8" width="26.375" bestFit="1" customWidth="1"/>
    <col min="9" max="9" width="13.625" bestFit="1" customWidth="1"/>
    <col min="10" max="12" width="13" bestFit="1" customWidth="1"/>
  </cols>
  <sheetData>
    <row r="1" spans="2:7" x14ac:dyDescent="0.4">
      <c r="C1" t="s">
        <v>776</v>
      </c>
      <c r="E1" t="s">
        <v>778</v>
      </c>
      <c r="G1" t="s">
        <v>775</v>
      </c>
    </row>
    <row r="2" spans="2:7" x14ac:dyDescent="0.4">
      <c r="B2" s="62" t="s">
        <v>774</v>
      </c>
      <c r="C2" s="62" t="str">
        <f>(集計!G15)</f>
        <v>SBY明細書</v>
      </c>
      <c r="D2" s="62" t="s">
        <v>777</v>
      </c>
      <c r="E2" s="62" t="s">
        <v>1199</v>
      </c>
      <c r="F2" s="62" t="s">
        <v>773</v>
      </c>
      <c r="G2" s="63" t="str">
        <f>TEXT(集計!D2,"yyyy年mm月")</f>
        <v>2017年09月</v>
      </c>
    </row>
    <row r="3" spans="2:7" ht="19.5" customHeight="1" x14ac:dyDescent="0.4">
      <c r="C3" s="1" t="s">
        <v>0</v>
      </c>
      <c r="D3" s="1" t="s">
        <v>1</v>
      </c>
      <c r="E3" s="1" t="s">
        <v>32</v>
      </c>
    </row>
    <row r="4" spans="2:7" ht="19.5" thickBot="1" x14ac:dyDescent="0.45">
      <c r="C4" s="15" t="s">
        <v>3</v>
      </c>
      <c r="D4" s="15" t="s">
        <v>1200</v>
      </c>
      <c r="E4" s="15" t="s">
        <v>143</v>
      </c>
    </row>
    <row r="5" spans="2:7" x14ac:dyDescent="0.4">
      <c r="B5" s="79" t="s">
        <v>16</v>
      </c>
      <c r="C5" s="29" t="s">
        <v>4</v>
      </c>
      <c r="D5" s="1" t="s">
        <v>1201</v>
      </c>
      <c r="E5" s="23" t="s">
        <v>144</v>
      </c>
    </row>
    <row r="6" spans="2:7" x14ac:dyDescent="0.4">
      <c r="B6" s="80"/>
      <c r="C6" s="18" t="s">
        <v>5</v>
      </c>
      <c r="D6" s="1" t="s">
        <v>1202</v>
      </c>
      <c r="E6" s="24" t="s">
        <v>145</v>
      </c>
    </row>
    <row r="7" spans="2:7" x14ac:dyDescent="0.4">
      <c r="B7" s="80"/>
      <c r="C7" s="18" t="s">
        <v>138</v>
      </c>
      <c r="D7" s="1" t="s">
        <v>1203</v>
      </c>
      <c r="E7" s="24" t="s">
        <v>178</v>
      </c>
    </row>
    <row r="8" spans="2:7" x14ac:dyDescent="0.4">
      <c r="B8" s="80"/>
      <c r="C8" s="18" t="s">
        <v>139</v>
      </c>
      <c r="D8" s="1" t="s">
        <v>1204</v>
      </c>
      <c r="E8" s="24" t="s">
        <v>179</v>
      </c>
    </row>
    <row r="9" spans="2:7" x14ac:dyDescent="0.4">
      <c r="B9" s="80"/>
      <c r="C9" s="18" t="s">
        <v>140</v>
      </c>
      <c r="D9" s="1" t="s">
        <v>1205</v>
      </c>
      <c r="E9" s="31" t="s">
        <v>180</v>
      </c>
    </row>
    <row r="10" spans="2:7" x14ac:dyDescent="0.4">
      <c r="B10" s="80"/>
      <c r="C10" s="18" t="s">
        <v>141</v>
      </c>
      <c r="D10" s="1" t="s">
        <v>1206</v>
      </c>
      <c r="E10" s="24" t="s">
        <v>181</v>
      </c>
    </row>
    <row r="11" spans="2:7" x14ac:dyDescent="0.4">
      <c r="B11" s="80"/>
      <c r="C11" s="18" t="s">
        <v>6</v>
      </c>
      <c r="D11" s="1" t="s">
        <v>1207</v>
      </c>
      <c r="E11" s="24" t="s">
        <v>146</v>
      </c>
    </row>
    <row r="12" spans="2:7" x14ac:dyDescent="0.4">
      <c r="B12" s="80"/>
      <c r="C12" s="18" t="s">
        <v>7</v>
      </c>
      <c r="D12" s="1" t="s">
        <v>1208</v>
      </c>
      <c r="E12" s="24" t="s">
        <v>147</v>
      </c>
    </row>
    <row r="13" spans="2:7" x14ac:dyDescent="0.4">
      <c r="B13" s="80"/>
      <c r="C13" s="18" t="s">
        <v>8</v>
      </c>
      <c r="D13" s="35" t="s">
        <v>1209</v>
      </c>
      <c r="E13" s="24" t="s">
        <v>148</v>
      </c>
    </row>
    <row r="14" spans="2:7" x14ac:dyDescent="0.4">
      <c r="B14" s="80"/>
      <c r="C14" s="18" t="s">
        <v>9</v>
      </c>
      <c r="D14" s="1" t="s">
        <v>1210</v>
      </c>
      <c r="E14" s="24" t="s">
        <v>149</v>
      </c>
    </row>
    <row r="15" spans="2:7" x14ac:dyDescent="0.4">
      <c r="B15" s="80"/>
      <c r="C15" s="18" t="s">
        <v>14</v>
      </c>
      <c r="D15" s="35" t="s">
        <v>1211</v>
      </c>
      <c r="E15" s="24" t="s">
        <v>150</v>
      </c>
    </row>
    <row r="16" spans="2:7" ht="19.5" thickBot="1" x14ac:dyDescent="0.45">
      <c r="B16" s="81"/>
      <c r="C16" s="30" t="s">
        <v>15</v>
      </c>
      <c r="D16" s="1" t="s">
        <v>1212</v>
      </c>
      <c r="E16" s="27" t="s">
        <v>151</v>
      </c>
    </row>
    <row r="17" spans="2:5" x14ac:dyDescent="0.4">
      <c r="B17" s="79" t="s">
        <v>22</v>
      </c>
      <c r="C17" s="21" t="s">
        <v>17</v>
      </c>
      <c r="D17" s="22" t="s">
        <v>1213</v>
      </c>
      <c r="E17" s="23" t="s">
        <v>152</v>
      </c>
    </row>
    <row r="18" spans="2:5" x14ac:dyDescent="0.4">
      <c r="B18" s="80"/>
      <c r="C18" s="19" t="s">
        <v>18</v>
      </c>
      <c r="D18" s="1" t="s">
        <v>1214</v>
      </c>
      <c r="E18" s="24" t="s">
        <v>153</v>
      </c>
    </row>
    <row r="19" spans="2:5" x14ac:dyDescent="0.4">
      <c r="B19" s="80"/>
      <c r="C19" s="19" t="s">
        <v>19</v>
      </c>
      <c r="D19" s="1" t="s">
        <v>1215</v>
      </c>
      <c r="E19" s="24" t="s">
        <v>154</v>
      </c>
    </row>
    <row r="20" spans="2:5" x14ac:dyDescent="0.4">
      <c r="B20" s="80"/>
      <c r="C20" s="19" t="s">
        <v>20</v>
      </c>
      <c r="D20" s="1" t="s">
        <v>1216</v>
      </c>
      <c r="E20" s="24" t="s">
        <v>155</v>
      </c>
    </row>
    <row r="21" spans="2:5" ht="19.5" thickBot="1" x14ac:dyDescent="0.45">
      <c r="B21" s="81"/>
      <c r="C21" s="25" t="s">
        <v>21</v>
      </c>
      <c r="D21" s="26" t="s">
        <v>1217</v>
      </c>
      <c r="E21" s="27" t="s">
        <v>156</v>
      </c>
    </row>
    <row r="22" spans="2:5" ht="18.75" customHeight="1" x14ac:dyDescent="0.4">
      <c r="B22" s="75" t="s">
        <v>23</v>
      </c>
      <c r="C22" s="21" t="s">
        <v>24</v>
      </c>
      <c r="D22" s="22" t="s">
        <v>1218</v>
      </c>
      <c r="E22" s="23" t="s">
        <v>157</v>
      </c>
    </row>
    <row r="23" spans="2:5" x14ac:dyDescent="0.4">
      <c r="B23" s="76"/>
      <c r="C23" s="19" t="s">
        <v>25</v>
      </c>
      <c r="D23" s="1" t="s">
        <v>1219</v>
      </c>
      <c r="E23" s="24" t="s">
        <v>158</v>
      </c>
    </row>
    <row r="24" spans="2:5" x14ac:dyDescent="0.4">
      <c r="B24" s="76"/>
      <c r="C24" s="19" t="s">
        <v>26</v>
      </c>
      <c r="D24" s="1" t="s">
        <v>1220</v>
      </c>
      <c r="E24" s="24" t="s">
        <v>159</v>
      </c>
    </row>
    <row r="25" spans="2:5" x14ac:dyDescent="0.4">
      <c r="B25" s="76"/>
      <c r="C25" s="19" t="s">
        <v>19</v>
      </c>
      <c r="D25" s="1" t="s">
        <v>1221</v>
      </c>
      <c r="E25" s="24" t="s">
        <v>160</v>
      </c>
    </row>
    <row r="26" spans="2:5" x14ac:dyDescent="0.4">
      <c r="B26" s="76"/>
      <c r="C26" s="19" t="s">
        <v>18</v>
      </c>
      <c r="D26" s="1" t="s">
        <v>1222</v>
      </c>
      <c r="E26" s="24" t="s">
        <v>161</v>
      </c>
    </row>
    <row r="27" spans="2:5" x14ac:dyDescent="0.4">
      <c r="B27" s="76"/>
      <c r="C27" s="19" t="s">
        <v>27</v>
      </c>
      <c r="D27" s="1" t="s">
        <v>1223</v>
      </c>
      <c r="E27" s="24" t="s">
        <v>162</v>
      </c>
    </row>
    <row r="28" spans="2:5" x14ac:dyDescent="0.4">
      <c r="B28" s="76"/>
      <c r="C28" s="19" t="s">
        <v>28</v>
      </c>
      <c r="D28" s="1" t="s">
        <v>1224</v>
      </c>
      <c r="E28" s="24" t="s">
        <v>163</v>
      </c>
    </row>
    <row r="29" spans="2:5" x14ac:dyDescent="0.4">
      <c r="B29" s="76"/>
      <c r="C29" s="19" t="s">
        <v>29</v>
      </c>
      <c r="D29" s="1" t="s">
        <v>1225</v>
      </c>
      <c r="E29" s="24" t="s">
        <v>164</v>
      </c>
    </row>
    <row r="30" spans="2:5" x14ac:dyDescent="0.4">
      <c r="B30" s="76"/>
      <c r="C30" s="19" t="s">
        <v>17</v>
      </c>
      <c r="D30" s="1" t="s">
        <v>1226</v>
      </c>
      <c r="E30" s="24" t="s">
        <v>165</v>
      </c>
    </row>
    <row r="31" spans="2:5" x14ac:dyDescent="0.4">
      <c r="B31" s="76"/>
      <c r="C31" s="19" t="s">
        <v>20</v>
      </c>
      <c r="D31" s="1" t="s">
        <v>1227</v>
      </c>
      <c r="E31" s="24" t="s">
        <v>166</v>
      </c>
    </row>
    <row r="32" spans="2:5" x14ac:dyDescent="0.4">
      <c r="B32" s="76"/>
      <c r="C32" s="19" t="s">
        <v>21</v>
      </c>
      <c r="D32" s="1" t="s">
        <v>1228</v>
      </c>
      <c r="E32" s="24" t="s">
        <v>167</v>
      </c>
    </row>
    <row r="33" spans="2:5" ht="19.5" thickBot="1" x14ac:dyDescent="0.45">
      <c r="B33" s="77"/>
      <c r="C33" s="25" t="s">
        <v>30</v>
      </c>
      <c r="D33" s="1" t="s">
        <v>1229</v>
      </c>
      <c r="E33" s="27" t="s">
        <v>168</v>
      </c>
    </row>
    <row r="34" spans="2:5" ht="18.75" customHeight="1" x14ac:dyDescent="0.4">
      <c r="B34" s="75" t="s">
        <v>31</v>
      </c>
      <c r="C34" s="29" t="s">
        <v>24</v>
      </c>
      <c r="D34" s="1" t="s">
        <v>1230</v>
      </c>
      <c r="E34" s="23" t="s">
        <v>169</v>
      </c>
    </row>
    <row r="35" spans="2:5" x14ac:dyDescent="0.4">
      <c r="B35" s="76"/>
      <c r="C35" s="18" t="s">
        <v>25</v>
      </c>
      <c r="D35" s="1" t="s">
        <v>1231</v>
      </c>
      <c r="E35" s="24" t="s">
        <v>170</v>
      </c>
    </row>
    <row r="36" spans="2:5" x14ac:dyDescent="0.4">
      <c r="B36" s="76"/>
      <c r="C36" s="18" t="s">
        <v>26</v>
      </c>
      <c r="D36" s="1" t="s">
        <v>1232</v>
      </c>
      <c r="E36" s="24" t="s">
        <v>171</v>
      </c>
    </row>
    <row r="37" spans="2:5" x14ac:dyDescent="0.4">
      <c r="B37" s="76"/>
      <c r="C37" s="19" t="s">
        <v>19</v>
      </c>
      <c r="D37" s="1" t="s">
        <v>1233</v>
      </c>
      <c r="E37" s="24" t="s">
        <v>172</v>
      </c>
    </row>
    <row r="38" spans="2:5" x14ac:dyDescent="0.4">
      <c r="B38" s="76"/>
      <c r="C38" s="20" t="s">
        <v>18</v>
      </c>
      <c r="D38" s="1" t="s">
        <v>1234</v>
      </c>
      <c r="E38" s="24" t="s">
        <v>173</v>
      </c>
    </row>
    <row r="39" spans="2:5" x14ac:dyDescent="0.4">
      <c r="B39" s="76"/>
      <c r="C39" s="18" t="s">
        <v>27</v>
      </c>
      <c r="D39" s="1" t="s">
        <v>1235</v>
      </c>
      <c r="E39" s="24" t="s">
        <v>174</v>
      </c>
    </row>
    <row r="40" spans="2:5" x14ac:dyDescent="0.4">
      <c r="B40" s="76"/>
      <c r="C40" s="18" t="s">
        <v>28</v>
      </c>
      <c r="D40" s="1" t="s">
        <v>1236</v>
      </c>
      <c r="E40" s="24" t="s">
        <v>175</v>
      </c>
    </row>
    <row r="41" spans="2:5" x14ac:dyDescent="0.4">
      <c r="B41" s="76"/>
      <c r="C41" s="18" t="s">
        <v>29</v>
      </c>
      <c r="D41" s="1" t="s">
        <v>1237</v>
      </c>
      <c r="E41" s="24" t="s">
        <v>176</v>
      </c>
    </row>
    <row r="42" spans="2:5" ht="19.5" thickBot="1" x14ac:dyDescent="0.45">
      <c r="B42" s="77"/>
      <c r="C42" s="25" t="s">
        <v>142</v>
      </c>
      <c r="D42" s="1" t="s">
        <v>1238</v>
      </c>
      <c r="E42" s="27" t="s">
        <v>177</v>
      </c>
    </row>
    <row r="65" ht="18.75" customHeight="1" x14ac:dyDescent="0.4"/>
    <row r="77" ht="18.75" customHeight="1" x14ac:dyDescent="0.4"/>
  </sheetData>
  <mergeCells count="4">
    <mergeCell ref="B5:B16"/>
    <mergeCell ref="B17:B21"/>
    <mergeCell ref="B22:B33"/>
    <mergeCell ref="B34:B42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6266-AD9E-4A7C-AD66-E6E91E20EC17}">
  <sheetPr codeName="Sheet4"/>
  <dimension ref="B1:G42"/>
  <sheetViews>
    <sheetView topLeftCell="A15" workbookViewId="0">
      <selection activeCell="E4" sqref="E4:E42"/>
    </sheetView>
  </sheetViews>
  <sheetFormatPr defaultRowHeight="18.75" x14ac:dyDescent="0.4"/>
  <cols>
    <col min="2" max="2" width="19.25" bestFit="1" customWidth="1"/>
    <col min="3" max="3" width="19.25" customWidth="1"/>
    <col min="4" max="4" width="13" bestFit="1" customWidth="1"/>
    <col min="5" max="5" width="17.25" bestFit="1" customWidth="1"/>
    <col min="6" max="6" width="7.125" bestFit="1" customWidth="1"/>
    <col min="7" max="7" width="15.125" bestFit="1" customWidth="1"/>
  </cols>
  <sheetData>
    <row r="1" spans="2:7" x14ac:dyDescent="0.4">
      <c r="C1" t="s">
        <v>776</v>
      </c>
      <c r="E1" t="s">
        <v>778</v>
      </c>
      <c r="G1" t="s">
        <v>775</v>
      </c>
    </row>
    <row r="2" spans="2:7" x14ac:dyDescent="0.4">
      <c r="B2" s="62" t="s">
        <v>774</v>
      </c>
      <c r="C2" s="62" t="str">
        <f>(集計!G16)</f>
        <v>ライズアップ明細書</v>
      </c>
      <c r="D2" s="62" t="s">
        <v>777</v>
      </c>
      <c r="E2" s="62" t="s">
        <v>1239</v>
      </c>
      <c r="F2" s="62" t="s">
        <v>773</v>
      </c>
      <c r="G2" s="63" t="str">
        <f>TEXT(集計!D2,"yyyy年mm月")</f>
        <v>2017年09月</v>
      </c>
    </row>
    <row r="3" spans="2:7" x14ac:dyDescent="0.4">
      <c r="C3" s="1" t="s">
        <v>0</v>
      </c>
      <c r="D3" s="1" t="s">
        <v>1</v>
      </c>
      <c r="E3" s="1" t="s">
        <v>32</v>
      </c>
    </row>
    <row r="4" spans="2:7" ht="19.5" thickBot="1" x14ac:dyDescent="0.45">
      <c r="C4" s="15" t="s">
        <v>3</v>
      </c>
      <c r="D4" s="15" t="s">
        <v>1279</v>
      </c>
      <c r="E4" s="15" t="s">
        <v>1240</v>
      </c>
    </row>
    <row r="5" spans="2:7" x14ac:dyDescent="0.4">
      <c r="B5" s="79" t="s">
        <v>16</v>
      </c>
      <c r="C5" s="29" t="s">
        <v>4</v>
      </c>
      <c r="D5" s="1" t="s">
        <v>1280</v>
      </c>
      <c r="E5" s="23" t="s">
        <v>1241</v>
      </c>
    </row>
    <row r="6" spans="2:7" x14ac:dyDescent="0.4">
      <c r="B6" s="80"/>
      <c r="C6" s="18" t="s">
        <v>5</v>
      </c>
      <c r="D6" s="1" t="s">
        <v>1281</v>
      </c>
      <c r="E6" s="24" t="s">
        <v>1242</v>
      </c>
    </row>
    <row r="7" spans="2:7" x14ac:dyDescent="0.4">
      <c r="B7" s="80"/>
      <c r="C7" s="18" t="s">
        <v>138</v>
      </c>
      <c r="D7" s="1" t="s">
        <v>1282</v>
      </c>
      <c r="E7" s="24" t="s">
        <v>1243</v>
      </c>
    </row>
    <row r="8" spans="2:7" x14ac:dyDescent="0.4">
      <c r="B8" s="80"/>
      <c r="C8" s="18" t="s">
        <v>139</v>
      </c>
      <c r="D8" s="1" t="s">
        <v>1283</v>
      </c>
      <c r="E8" s="24" t="s">
        <v>1244</v>
      </c>
    </row>
    <row r="9" spans="2:7" x14ac:dyDescent="0.4">
      <c r="B9" s="80"/>
      <c r="C9" s="18" t="s">
        <v>140</v>
      </c>
      <c r="D9" s="1" t="s">
        <v>1284</v>
      </c>
      <c r="E9" s="31" t="s">
        <v>1245</v>
      </c>
    </row>
    <row r="10" spans="2:7" x14ac:dyDescent="0.4">
      <c r="B10" s="80"/>
      <c r="C10" s="18" t="s">
        <v>141</v>
      </c>
      <c r="D10" s="1" t="s">
        <v>1285</v>
      </c>
      <c r="E10" s="24" t="s">
        <v>1246</v>
      </c>
    </row>
    <row r="11" spans="2:7" x14ac:dyDescent="0.4">
      <c r="B11" s="80"/>
      <c r="C11" s="18" t="s">
        <v>6</v>
      </c>
      <c r="D11" s="1" t="s">
        <v>1286</v>
      </c>
      <c r="E11" s="24" t="s">
        <v>1247</v>
      </c>
    </row>
    <row r="12" spans="2:7" x14ac:dyDescent="0.4">
      <c r="B12" s="80"/>
      <c r="C12" s="18" t="s">
        <v>7</v>
      </c>
      <c r="D12" s="1" t="s">
        <v>1287</v>
      </c>
      <c r="E12" s="24" t="s">
        <v>1248</v>
      </c>
    </row>
    <row r="13" spans="2:7" x14ac:dyDescent="0.4">
      <c r="B13" s="80"/>
      <c r="C13" s="18" t="s">
        <v>8</v>
      </c>
      <c r="D13" s="35" t="s">
        <v>1288</v>
      </c>
      <c r="E13" s="24" t="s">
        <v>1249</v>
      </c>
    </row>
    <row r="14" spans="2:7" x14ac:dyDescent="0.4">
      <c r="B14" s="80"/>
      <c r="C14" s="18" t="s">
        <v>9</v>
      </c>
      <c r="D14" s="1" t="s">
        <v>1289</v>
      </c>
      <c r="E14" s="24" t="s">
        <v>1250</v>
      </c>
    </row>
    <row r="15" spans="2:7" x14ac:dyDescent="0.4">
      <c r="B15" s="80"/>
      <c r="C15" s="18" t="s">
        <v>14</v>
      </c>
      <c r="D15" s="35" t="s">
        <v>1290</v>
      </c>
      <c r="E15" s="24" t="s">
        <v>1251</v>
      </c>
    </row>
    <row r="16" spans="2:7" ht="19.5" thickBot="1" x14ac:dyDescent="0.45">
      <c r="B16" s="81"/>
      <c r="C16" s="30" t="s">
        <v>15</v>
      </c>
      <c r="D16" s="1" t="s">
        <v>1291</v>
      </c>
      <c r="E16" s="27" t="s">
        <v>1252</v>
      </c>
    </row>
    <row r="17" spans="2:5" ht="18.75" customHeight="1" x14ac:dyDescent="0.4">
      <c r="B17" s="79" t="s">
        <v>22</v>
      </c>
      <c r="C17" s="21" t="s">
        <v>17</v>
      </c>
      <c r="D17" s="22" t="s">
        <v>1292</v>
      </c>
      <c r="E17" s="23" t="s">
        <v>1253</v>
      </c>
    </row>
    <row r="18" spans="2:5" x14ac:dyDescent="0.4">
      <c r="B18" s="80"/>
      <c r="C18" s="19" t="s">
        <v>18</v>
      </c>
      <c r="D18" s="1" t="s">
        <v>1293</v>
      </c>
      <c r="E18" s="24" t="s">
        <v>1254</v>
      </c>
    </row>
    <row r="19" spans="2:5" x14ac:dyDescent="0.4">
      <c r="B19" s="80"/>
      <c r="C19" s="19" t="s">
        <v>19</v>
      </c>
      <c r="D19" s="1" t="s">
        <v>1294</v>
      </c>
      <c r="E19" s="24" t="s">
        <v>1255</v>
      </c>
    </row>
    <row r="20" spans="2:5" x14ac:dyDescent="0.4">
      <c r="B20" s="80"/>
      <c r="C20" s="19" t="s">
        <v>20</v>
      </c>
      <c r="D20" s="1" t="s">
        <v>1295</v>
      </c>
      <c r="E20" s="24" t="s">
        <v>1256</v>
      </c>
    </row>
    <row r="21" spans="2:5" ht="19.5" thickBot="1" x14ac:dyDescent="0.45">
      <c r="B21" s="81"/>
      <c r="C21" s="25" t="s">
        <v>21</v>
      </c>
      <c r="D21" s="26" t="s">
        <v>1296</v>
      </c>
      <c r="E21" s="27" t="s">
        <v>1257</v>
      </c>
    </row>
    <row r="22" spans="2:5" ht="18.75" customHeight="1" x14ac:dyDescent="0.4">
      <c r="B22" s="75" t="s">
        <v>23</v>
      </c>
      <c r="C22" s="21" t="s">
        <v>24</v>
      </c>
      <c r="D22" s="22" t="s">
        <v>1297</v>
      </c>
      <c r="E22" s="23" t="s">
        <v>1258</v>
      </c>
    </row>
    <row r="23" spans="2:5" x14ac:dyDescent="0.4">
      <c r="B23" s="76"/>
      <c r="C23" s="19" t="s">
        <v>25</v>
      </c>
      <c r="D23" s="1" t="s">
        <v>1298</v>
      </c>
      <c r="E23" s="24" t="s">
        <v>1259</v>
      </c>
    </row>
    <row r="24" spans="2:5" x14ac:dyDescent="0.4">
      <c r="B24" s="76"/>
      <c r="C24" s="19" t="s">
        <v>26</v>
      </c>
      <c r="D24" s="1" t="s">
        <v>1299</v>
      </c>
      <c r="E24" s="24" t="s">
        <v>1260</v>
      </c>
    </row>
    <row r="25" spans="2:5" x14ac:dyDescent="0.4">
      <c r="B25" s="76"/>
      <c r="C25" s="19" t="s">
        <v>19</v>
      </c>
      <c r="D25" s="1" t="s">
        <v>1300</v>
      </c>
      <c r="E25" s="24" t="s">
        <v>1261</v>
      </c>
    </row>
    <row r="26" spans="2:5" x14ac:dyDescent="0.4">
      <c r="B26" s="76"/>
      <c r="C26" s="19" t="s">
        <v>18</v>
      </c>
      <c r="D26" s="1" t="s">
        <v>1301</v>
      </c>
      <c r="E26" s="24" t="s">
        <v>1262</v>
      </c>
    </row>
    <row r="27" spans="2:5" x14ac:dyDescent="0.4">
      <c r="B27" s="76"/>
      <c r="C27" s="19" t="s">
        <v>27</v>
      </c>
      <c r="D27" s="1" t="s">
        <v>1302</v>
      </c>
      <c r="E27" s="24" t="s">
        <v>1263</v>
      </c>
    </row>
    <row r="28" spans="2:5" x14ac:dyDescent="0.4">
      <c r="B28" s="76"/>
      <c r="C28" s="19" t="s">
        <v>28</v>
      </c>
      <c r="D28" s="1" t="s">
        <v>1303</v>
      </c>
      <c r="E28" s="24" t="s">
        <v>1264</v>
      </c>
    </row>
    <row r="29" spans="2:5" x14ac:dyDescent="0.4">
      <c r="B29" s="76"/>
      <c r="C29" s="19" t="s">
        <v>29</v>
      </c>
      <c r="D29" s="1" t="s">
        <v>1304</v>
      </c>
      <c r="E29" s="24" t="s">
        <v>1265</v>
      </c>
    </row>
    <row r="30" spans="2:5" x14ac:dyDescent="0.4">
      <c r="B30" s="76"/>
      <c r="C30" s="19" t="s">
        <v>17</v>
      </c>
      <c r="D30" s="1" t="s">
        <v>1305</v>
      </c>
      <c r="E30" s="24" t="s">
        <v>1266</v>
      </c>
    </row>
    <row r="31" spans="2:5" x14ac:dyDescent="0.4">
      <c r="B31" s="76"/>
      <c r="C31" s="19" t="s">
        <v>20</v>
      </c>
      <c r="D31" s="1" t="s">
        <v>1306</v>
      </c>
      <c r="E31" s="24" t="s">
        <v>1267</v>
      </c>
    </row>
    <row r="32" spans="2:5" x14ac:dyDescent="0.4">
      <c r="B32" s="76"/>
      <c r="C32" s="19" t="s">
        <v>21</v>
      </c>
      <c r="D32" s="1" t="s">
        <v>1307</v>
      </c>
      <c r="E32" s="24" t="s">
        <v>1268</v>
      </c>
    </row>
    <row r="33" spans="2:5" ht="19.5" thickBot="1" x14ac:dyDescent="0.45">
      <c r="B33" s="77"/>
      <c r="C33" s="25" t="s">
        <v>30</v>
      </c>
      <c r="D33" s="1" t="s">
        <v>1308</v>
      </c>
      <c r="E33" s="27" t="s">
        <v>1269</v>
      </c>
    </row>
    <row r="34" spans="2:5" ht="18.75" customHeight="1" x14ac:dyDescent="0.4">
      <c r="B34" s="75" t="s">
        <v>31</v>
      </c>
      <c r="C34" s="29" t="s">
        <v>24</v>
      </c>
      <c r="D34" s="1" t="s">
        <v>1309</v>
      </c>
      <c r="E34" s="23" t="s">
        <v>1270</v>
      </c>
    </row>
    <row r="35" spans="2:5" x14ac:dyDescent="0.4">
      <c r="B35" s="76"/>
      <c r="C35" s="18" t="s">
        <v>25</v>
      </c>
      <c r="D35" s="1" t="s">
        <v>1310</v>
      </c>
      <c r="E35" s="24" t="s">
        <v>1271</v>
      </c>
    </row>
    <row r="36" spans="2:5" x14ac:dyDescent="0.4">
      <c r="B36" s="76"/>
      <c r="C36" s="18" t="s">
        <v>26</v>
      </c>
      <c r="D36" s="1" t="s">
        <v>1311</v>
      </c>
      <c r="E36" s="24" t="s">
        <v>1272</v>
      </c>
    </row>
    <row r="37" spans="2:5" x14ac:dyDescent="0.4">
      <c r="B37" s="76"/>
      <c r="C37" s="19" t="s">
        <v>19</v>
      </c>
      <c r="D37" s="1" t="s">
        <v>1312</v>
      </c>
      <c r="E37" s="24" t="s">
        <v>1273</v>
      </c>
    </row>
    <row r="38" spans="2:5" x14ac:dyDescent="0.4">
      <c r="B38" s="76"/>
      <c r="C38" s="20" t="s">
        <v>18</v>
      </c>
      <c r="D38" s="1" t="s">
        <v>1313</v>
      </c>
      <c r="E38" s="24" t="s">
        <v>1274</v>
      </c>
    </row>
    <row r="39" spans="2:5" x14ac:dyDescent="0.4">
      <c r="B39" s="76"/>
      <c r="C39" s="18" t="s">
        <v>27</v>
      </c>
      <c r="D39" s="1" t="s">
        <v>1314</v>
      </c>
      <c r="E39" s="24" t="s">
        <v>1275</v>
      </c>
    </row>
    <row r="40" spans="2:5" x14ac:dyDescent="0.4">
      <c r="B40" s="76"/>
      <c r="C40" s="18" t="s">
        <v>28</v>
      </c>
      <c r="D40" s="1" t="s">
        <v>1315</v>
      </c>
      <c r="E40" s="24" t="s">
        <v>1276</v>
      </c>
    </row>
    <row r="41" spans="2:5" x14ac:dyDescent="0.4">
      <c r="B41" s="76"/>
      <c r="C41" s="18" t="s">
        <v>29</v>
      </c>
      <c r="D41" s="1" t="s">
        <v>1316</v>
      </c>
      <c r="E41" s="24" t="s">
        <v>1277</v>
      </c>
    </row>
    <row r="42" spans="2:5" ht="19.5" thickBot="1" x14ac:dyDescent="0.45">
      <c r="B42" s="77"/>
      <c r="C42" s="25" t="s">
        <v>142</v>
      </c>
      <c r="D42" s="1" t="s">
        <v>1317</v>
      </c>
      <c r="E42" s="27" t="s">
        <v>1278</v>
      </c>
    </row>
  </sheetData>
  <mergeCells count="4">
    <mergeCell ref="B5:B16"/>
    <mergeCell ref="B17:B21"/>
    <mergeCell ref="B22:B33"/>
    <mergeCell ref="B34:B42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513E-B479-4F16-95E7-88B6FE213F77}">
  <sheetPr codeName="Sheet2"/>
  <dimension ref="B1:G42"/>
  <sheetViews>
    <sheetView workbookViewId="0">
      <selection activeCell="G19" sqref="G19"/>
    </sheetView>
  </sheetViews>
  <sheetFormatPr defaultRowHeight="18.75" x14ac:dyDescent="0.4"/>
  <cols>
    <col min="2" max="2" width="21.25" bestFit="1" customWidth="1"/>
    <col min="3" max="3" width="20.625" bestFit="1" customWidth="1"/>
    <col min="4" max="6" width="13" bestFit="1" customWidth="1"/>
    <col min="7" max="7" width="13.375" customWidth="1"/>
  </cols>
  <sheetData>
    <row r="1" spans="2:7" x14ac:dyDescent="0.4">
      <c r="C1" t="s">
        <v>776</v>
      </c>
      <c r="E1" t="s">
        <v>778</v>
      </c>
      <c r="G1" t="s">
        <v>775</v>
      </c>
    </row>
    <row r="2" spans="2:7" x14ac:dyDescent="0.4">
      <c r="B2" s="62" t="s">
        <v>774</v>
      </c>
      <c r="C2" s="62" t="str">
        <f>(集計!G17)</f>
        <v>ロキ明細書</v>
      </c>
      <c r="D2" s="62" t="s">
        <v>777</v>
      </c>
      <c r="E2" s="62" t="s">
        <v>1357</v>
      </c>
      <c r="F2" s="62" t="s">
        <v>773</v>
      </c>
      <c r="G2" s="63" t="str">
        <f>TEXT(集計!D2,"yyyy年mm月")</f>
        <v>2017年09月</v>
      </c>
    </row>
    <row r="3" spans="2:7" x14ac:dyDescent="0.4">
      <c r="C3" s="1" t="s">
        <v>0</v>
      </c>
      <c r="D3" s="1" t="s">
        <v>1</v>
      </c>
      <c r="E3" s="1" t="s">
        <v>32</v>
      </c>
    </row>
    <row r="4" spans="2:7" ht="19.5" thickBot="1" x14ac:dyDescent="0.45">
      <c r="C4" s="15" t="s">
        <v>3</v>
      </c>
      <c r="D4" s="15" t="s">
        <v>1318</v>
      </c>
      <c r="E4" s="1" t="s">
        <v>1358</v>
      </c>
    </row>
    <row r="5" spans="2:7" x14ac:dyDescent="0.4">
      <c r="B5" s="79" t="s">
        <v>16</v>
      </c>
      <c r="C5" s="29" t="s">
        <v>4</v>
      </c>
      <c r="D5" s="1" t="s">
        <v>1319</v>
      </c>
      <c r="E5" s="36" t="s">
        <v>1359</v>
      </c>
    </row>
    <row r="6" spans="2:7" x14ac:dyDescent="0.4">
      <c r="B6" s="80"/>
      <c r="C6" s="18" t="s">
        <v>5</v>
      </c>
      <c r="D6" s="1" t="s">
        <v>1320</v>
      </c>
      <c r="E6" s="24" t="s">
        <v>1360</v>
      </c>
    </row>
    <row r="7" spans="2:7" x14ac:dyDescent="0.4">
      <c r="B7" s="80"/>
      <c r="C7" s="18" t="s">
        <v>138</v>
      </c>
      <c r="D7" s="1" t="s">
        <v>1321</v>
      </c>
      <c r="E7" s="24" t="s">
        <v>1361</v>
      </c>
    </row>
    <row r="8" spans="2:7" x14ac:dyDescent="0.4">
      <c r="B8" s="80"/>
      <c r="C8" s="18" t="s">
        <v>139</v>
      </c>
      <c r="D8" s="1" t="s">
        <v>1322</v>
      </c>
      <c r="E8" s="24" t="s">
        <v>1362</v>
      </c>
    </row>
    <row r="9" spans="2:7" x14ac:dyDescent="0.4">
      <c r="B9" s="80"/>
      <c r="C9" s="18" t="s">
        <v>140</v>
      </c>
      <c r="D9" s="1" t="s">
        <v>1323</v>
      </c>
      <c r="E9" s="31" t="s">
        <v>1363</v>
      </c>
    </row>
    <row r="10" spans="2:7" x14ac:dyDescent="0.4">
      <c r="B10" s="80"/>
      <c r="C10" s="18" t="s">
        <v>141</v>
      </c>
      <c r="D10" s="1" t="s">
        <v>1324</v>
      </c>
      <c r="E10" s="24" t="s">
        <v>1364</v>
      </c>
    </row>
    <row r="11" spans="2:7" x14ac:dyDescent="0.4">
      <c r="B11" s="80"/>
      <c r="C11" s="18" t="s">
        <v>6</v>
      </c>
      <c r="D11" s="1" t="s">
        <v>1325</v>
      </c>
      <c r="E11" s="24" t="s">
        <v>1365</v>
      </c>
    </row>
    <row r="12" spans="2:7" x14ac:dyDescent="0.4">
      <c r="B12" s="80"/>
      <c r="C12" s="18" t="s">
        <v>7</v>
      </c>
      <c r="D12" s="1" t="s">
        <v>1326</v>
      </c>
      <c r="E12" s="24" t="s">
        <v>1366</v>
      </c>
    </row>
    <row r="13" spans="2:7" x14ac:dyDescent="0.4">
      <c r="B13" s="80"/>
      <c r="C13" s="18" t="s">
        <v>8</v>
      </c>
      <c r="D13" s="35" t="s">
        <v>1327</v>
      </c>
      <c r="E13" s="24" t="s">
        <v>1367</v>
      </c>
    </row>
    <row r="14" spans="2:7" x14ac:dyDescent="0.4">
      <c r="B14" s="80"/>
      <c r="C14" s="18" t="s">
        <v>9</v>
      </c>
      <c r="D14" s="1" t="s">
        <v>1328</v>
      </c>
      <c r="E14" s="24" t="s">
        <v>1368</v>
      </c>
    </row>
    <row r="15" spans="2:7" x14ac:dyDescent="0.4">
      <c r="B15" s="80"/>
      <c r="C15" s="18" t="s">
        <v>14</v>
      </c>
      <c r="D15" s="35" t="s">
        <v>1329</v>
      </c>
      <c r="E15" s="24" t="s">
        <v>1369</v>
      </c>
    </row>
    <row r="16" spans="2:7" ht="19.5" thickBot="1" x14ac:dyDescent="0.45">
      <c r="B16" s="81"/>
      <c r="C16" s="30" t="s">
        <v>15</v>
      </c>
      <c r="D16" s="1" t="s">
        <v>1330</v>
      </c>
      <c r="E16" s="27" t="s">
        <v>1370</v>
      </c>
    </row>
    <row r="17" spans="2:5" ht="18.75" customHeight="1" x14ac:dyDescent="0.4">
      <c r="B17" s="79" t="s">
        <v>22</v>
      </c>
      <c r="C17" s="21" t="s">
        <v>17</v>
      </c>
      <c r="D17" s="22" t="s">
        <v>1331</v>
      </c>
      <c r="E17" s="23" t="s">
        <v>1371</v>
      </c>
    </row>
    <row r="18" spans="2:5" x14ac:dyDescent="0.4">
      <c r="B18" s="80"/>
      <c r="C18" s="19" t="s">
        <v>18</v>
      </c>
      <c r="D18" s="1" t="s">
        <v>1332</v>
      </c>
      <c r="E18" s="24" t="s">
        <v>1372</v>
      </c>
    </row>
    <row r="19" spans="2:5" x14ac:dyDescent="0.4">
      <c r="B19" s="80"/>
      <c r="C19" s="19" t="s">
        <v>19</v>
      </c>
      <c r="D19" s="1" t="s">
        <v>1333</v>
      </c>
      <c r="E19" s="24" t="s">
        <v>1373</v>
      </c>
    </row>
    <row r="20" spans="2:5" x14ac:dyDescent="0.4">
      <c r="B20" s="80"/>
      <c r="C20" s="19" t="s">
        <v>20</v>
      </c>
      <c r="D20" s="1" t="s">
        <v>1334</v>
      </c>
      <c r="E20" s="24" t="s">
        <v>1374</v>
      </c>
    </row>
    <row r="21" spans="2:5" ht="19.5" thickBot="1" x14ac:dyDescent="0.45">
      <c r="B21" s="81"/>
      <c r="C21" s="25" t="s">
        <v>21</v>
      </c>
      <c r="D21" s="26" t="s">
        <v>1335</v>
      </c>
      <c r="E21" s="27" t="s">
        <v>1375</v>
      </c>
    </row>
    <row r="22" spans="2:5" ht="18.75" customHeight="1" x14ac:dyDescent="0.4">
      <c r="B22" s="75" t="s">
        <v>23</v>
      </c>
      <c r="C22" s="21" t="s">
        <v>24</v>
      </c>
      <c r="D22" s="22" t="s">
        <v>1336</v>
      </c>
      <c r="E22" s="23" t="s">
        <v>1376</v>
      </c>
    </row>
    <row r="23" spans="2:5" x14ac:dyDescent="0.4">
      <c r="B23" s="76"/>
      <c r="C23" s="19" t="s">
        <v>25</v>
      </c>
      <c r="D23" s="1" t="s">
        <v>1337</v>
      </c>
      <c r="E23" s="24" t="s">
        <v>1377</v>
      </c>
    </row>
    <row r="24" spans="2:5" x14ac:dyDescent="0.4">
      <c r="B24" s="76"/>
      <c r="C24" s="19" t="s">
        <v>26</v>
      </c>
      <c r="D24" s="1" t="s">
        <v>1338</v>
      </c>
      <c r="E24" s="24" t="s">
        <v>1378</v>
      </c>
    </row>
    <row r="25" spans="2:5" x14ac:dyDescent="0.4">
      <c r="B25" s="76"/>
      <c r="C25" s="19" t="s">
        <v>19</v>
      </c>
      <c r="D25" s="1" t="s">
        <v>1339</v>
      </c>
      <c r="E25" s="24" t="s">
        <v>1379</v>
      </c>
    </row>
    <row r="26" spans="2:5" x14ac:dyDescent="0.4">
      <c r="B26" s="76"/>
      <c r="C26" s="19" t="s">
        <v>18</v>
      </c>
      <c r="D26" s="1" t="s">
        <v>1340</v>
      </c>
      <c r="E26" s="24" t="s">
        <v>1380</v>
      </c>
    </row>
    <row r="27" spans="2:5" x14ac:dyDescent="0.4">
      <c r="B27" s="76"/>
      <c r="C27" s="19" t="s">
        <v>27</v>
      </c>
      <c r="D27" s="1" t="s">
        <v>1341</v>
      </c>
      <c r="E27" s="24" t="s">
        <v>1381</v>
      </c>
    </row>
    <row r="28" spans="2:5" x14ac:dyDescent="0.4">
      <c r="B28" s="76"/>
      <c r="C28" s="19" t="s">
        <v>28</v>
      </c>
      <c r="D28" s="1" t="s">
        <v>1342</v>
      </c>
      <c r="E28" s="24" t="s">
        <v>1382</v>
      </c>
    </row>
    <row r="29" spans="2:5" x14ac:dyDescent="0.4">
      <c r="B29" s="76"/>
      <c r="C29" s="19" t="s">
        <v>29</v>
      </c>
      <c r="D29" s="1" t="s">
        <v>1343</v>
      </c>
      <c r="E29" s="24" t="s">
        <v>1383</v>
      </c>
    </row>
    <row r="30" spans="2:5" x14ac:dyDescent="0.4">
      <c r="B30" s="76"/>
      <c r="C30" s="19" t="s">
        <v>17</v>
      </c>
      <c r="D30" s="1" t="s">
        <v>1344</v>
      </c>
      <c r="E30" s="24" t="s">
        <v>1384</v>
      </c>
    </row>
    <row r="31" spans="2:5" x14ac:dyDescent="0.4">
      <c r="B31" s="76"/>
      <c r="C31" s="19" t="s">
        <v>20</v>
      </c>
      <c r="D31" s="1" t="s">
        <v>1345</v>
      </c>
      <c r="E31" s="24" t="s">
        <v>1385</v>
      </c>
    </row>
    <row r="32" spans="2:5" x14ac:dyDescent="0.4">
      <c r="B32" s="76"/>
      <c r="C32" s="19" t="s">
        <v>21</v>
      </c>
      <c r="D32" s="1" t="s">
        <v>1346</v>
      </c>
      <c r="E32" s="24" t="s">
        <v>1386</v>
      </c>
    </row>
    <row r="33" spans="2:5" ht="19.5" thickBot="1" x14ac:dyDescent="0.45">
      <c r="B33" s="77"/>
      <c r="C33" s="25" t="s">
        <v>30</v>
      </c>
      <c r="D33" s="1" t="s">
        <v>1347</v>
      </c>
      <c r="E33" s="27" t="s">
        <v>1387</v>
      </c>
    </row>
    <row r="34" spans="2:5" ht="18.75" customHeight="1" x14ac:dyDescent="0.4">
      <c r="B34" s="75" t="s">
        <v>31</v>
      </c>
      <c r="C34" s="29" t="s">
        <v>24</v>
      </c>
      <c r="D34" s="1" t="s">
        <v>1348</v>
      </c>
      <c r="E34" s="23" t="s">
        <v>1388</v>
      </c>
    </row>
    <row r="35" spans="2:5" x14ac:dyDescent="0.4">
      <c r="B35" s="76"/>
      <c r="C35" s="18" t="s">
        <v>25</v>
      </c>
      <c r="D35" s="1" t="s">
        <v>1349</v>
      </c>
      <c r="E35" s="24" t="s">
        <v>1389</v>
      </c>
    </row>
    <row r="36" spans="2:5" x14ac:dyDescent="0.4">
      <c r="B36" s="76"/>
      <c r="C36" s="18" t="s">
        <v>26</v>
      </c>
      <c r="D36" s="1" t="s">
        <v>1350</v>
      </c>
      <c r="E36" s="24" t="s">
        <v>1390</v>
      </c>
    </row>
    <row r="37" spans="2:5" x14ac:dyDescent="0.4">
      <c r="B37" s="76"/>
      <c r="C37" s="19" t="s">
        <v>19</v>
      </c>
      <c r="D37" s="1" t="s">
        <v>1351</v>
      </c>
      <c r="E37" s="24" t="s">
        <v>1391</v>
      </c>
    </row>
    <row r="38" spans="2:5" x14ac:dyDescent="0.4">
      <c r="B38" s="76"/>
      <c r="C38" s="20" t="s">
        <v>18</v>
      </c>
      <c r="D38" s="1" t="s">
        <v>1352</v>
      </c>
      <c r="E38" s="24" t="s">
        <v>1392</v>
      </c>
    </row>
    <row r="39" spans="2:5" x14ac:dyDescent="0.4">
      <c r="B39" s="76"/>
      <c r="C39" s="18" t="s">
        <v>27</v>
      </c>
      <c r="D39" s="1" t="s">
        <v>1353</v>
      </c>
      <c r="E39" s="24" t="s">
        <v>1393</v>
      </c>
    </row>
    <row r="40" spans="2:5" x14ac:dyDescent="0.4">
      <c r="B40" s="76"/>
      <c r="C40" s="18" t="s">
        <v>28</v>
      </c>
      <c r="D40" s="1" t="s">
        <v>1354</v>
      </c>
      <c r="E40" s="24" t="s">
        <v>1394</v>
      </c>
    </row>
    <row r="41" spans="2:5" x14ac:dyDescent="0.4">
      <c r="B41" s="76"/>
      <c r="C41" s="18" t="s">
        <v>29</v>
      </c>
      <c r="D41" s="1" t="s">
        <v>1355</v>
      </c>
      <c r="E41" s="24" t="s">
        <v>1395</v>
      </c>
    </row>
    <row r="42" spans="2:5" ht="19.5" thickBot="1" x14ac:dyDescent="0.45">
      <c r="B42" s="77"/>
      <c r="C42" s="25" t="s">
        <v>142</v>
      </c>
      <c r="D42" s="1" t="s">
        <v>1356</v>
      </c>
      <c r="E42" s="27" t="s">
        <v>1396</v>
      </c>
    </row>
  </sheetData>
  <mergeCells count="4">
    <mergeCell ref="B5:B16"/>
    <mergeCell ref="B17:B21"/>
    <mergeCell ref="B22:B33"/>
    <mergeCell ref="B34:B42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B0410-DAA1-4BDC-98E7-E25374EA77E5}">
  <sheetPr codeName="Sheet3"/>
  <dimension ref="B1:G29"/>
  <sheetViews>
    <sheetView topLeftCell="C1" workbookViewId="0">
      <selection activeCell="G2" sqref="G2"/>
    </sheetView>
  </sheetViews>
  <sheetFormatPr defaultRowHeight="18.75" x14ac:dyDescent="0.4"/>
  <cols>
    <col min="1" max="1" width="10.25" customWidth="1"/>
    <col min="2" max="2" width="20.375" customWidth="1"/>
    <col min="3" max="3" width="28.375" customWidth="1"/>
    <col min="4" max="4" width="12.25" bestFit="1" customWidth="1"/>
    <col min="5" max="5" width="19.75" customWidth="1"/>
    <col min="6" max="6" width="9.625" customWidth="1"/>
    <col min="7" max="7" width="13.5" customWidth="1"/>
  </cols>
  <sheetData>
    <row r="1" spans="2:7" x14ac:dyDescent="0.4">
      <c r="C1" t="s">
        <v>776</v>
      </c>
      <c r="E1" t="s">
        <v>778</v>
      </c>
      <c r="G1" t="s">
        <v>775</v>
      </c>
    </row>
    <row r="2" spans="2:7" ht="19.5" x14ac:dyDescent="0.4">
      <c r="B2" s="62" t="s">
        <v>774</v>
      </c>
      <c r="C2" s="62" t="str">
        <f>(集計!G18)</f>
        <v>アミジェス明細書</v>
      </c>
      <c r="D2" s="64" t="s">
        <v>934</v>
      </c>
      <c r="E2" s="62" t="str">
        <f>(集計!H18)</f>
        <v>ＡＭ201604～</v>
      </c>
      <c r="F2" s="62" t="s">
        <v>773</v>
      </c>
      <c r="G2" s="71" t="str">
        <f>TEXT(集計!D2,"yyyy年mm月")</f>
        <v>2017年09月</v>
      </c>
    </row>
    <row r="3" spans="2:7" ht="19.5" thickBot="1" x14ac:dyDescent="0.45">
      <c r="C3" s="15" t="s">
        <v>0</v>
      </c>
      <c r="D3" s="1" t="s">
        <v>1</v>
      </c>
      <c r="E3" s="1" t="s">
        <v>2</v>
      </c>
      <c r="F3" s="1" t="s">
        <v>32</v>
      </c>
    </row>
    <row r="4" spans="2:7" ht="18.75" customHeight="1" x14ac:dyDescent="0.4">
      <c r="B4" s="75" t="s">
        <v>23</v>
      </c>
      <c r="C4" s="10" t="s">
        <v>24</v>
      </c>
      <c r="D4" s="5">
        <v>5</v>
      </c>
      <c r="E4" s="5">
        <v>34</v>
      </c>
      <c r="F4" s="5" t="s">
        <v>87</v>
      </c>
      <c r="G4" s="66"/>
    </row>
    <row r="5" spans="2:7" x14ac:dyDescent="0.4">
      <c r="B5" s="76"/>
      <c r="C5" s="9" t="s">
        <v>25</v>
      </c>
      <c r="D5" s="5">
        <v>35</v>
      </c>
      <c r="E5" s="5">
        <v>64</v>
      </c>
      <c r="F5" s="5" t="s">
        <v>88</v>
      </c>
    </row>
    <row r="6" spans="2:7" x14ac:dyDescent="0.4">
      <c r="B6" s="76"/>
      <c r="C6" s="9" t="s">
        <v>26</v>
      </c>
      <c r="D6" s="5">
        <v>65</v>
      </c>
      <c r="E6" s="5">
        <v>94</v>
      </c>
      <c r="F6" s="5" t="s">
        <v>89</v>
      </c>
    </row>
    <row r="7" spans="2:7" x14ac:dyDescent="0.4">
      <c r="B7" s="76"/>
      <c r="C7" s="9" t="s">
        <v>19</v>
      </c>
      <c r="D7" s="5">
        <v>95</v>
      </c>
      <c r="E7" s="5">
        <v>124</v>
      </c>
      <c r="F7" s="5" t="s">
        <v>90</v>
      </c>
    </row>
    <row r="8" spans="2:7" x14ac:dyDescent="0.4">
      <c r="B8" s="76"/>
      <c r="C8" s="50" t="s">
        <v>18</v>
      </c>
      <c r="D8" s="5">
        <v>125</v>
      </c>
      <c r="E8" s="5">
        <v>154</v>
      </c>
      <c r="F8" s="5" t="s">
        <v>81</v>
      </c>
    </row>
    <row r="9" spans="2:7" ht="18" customHeight="1" x14ac:dyDescent="0.4">
      <c r="B9" s="76"/>
      <c r="C9" s="10" t="s">
        <v>27</v>
      </c>
      <c r="D9" s="5">
        <v>155</v>
      </c>
      <c r="E9" s="5">
        <v>184</v>
      </c>
      <c r="F9" s="5" t="s">
        <v>91</v>
      </c>
    </row>
    <row r="10" spans="2:7" x14ac:dyDescent="0.4">
      <c r="B10" s="76"/>
      <c r="C10" s="9" t="s">
        <v>456</v>
      </c>
      <c r="D10" s="5">
        <v>185</v>
      </c>
      <c r="E10" s="5">
        <v>214</v>
      </c>
      <c r="F10" s="5" t="s">
        <v>458</v>
      </c>
    </row>
    <row r="11" spans="2:7" x14ac:dyDescent="0.4">
      <c r="B11" s="76"/>
      <c r="C11" s="9" t="s">
        <v>457</v>
      </c>
      <c r="D11" s="5">
        <v>215</v>
      </c>
      <c r="E11" s="5">
        <v>244</v>
      </c>
      <c r="F11" s="5" t="s">
        <v>459</v>
      </c>
    </row>
    <row r="12" spans="2:7" x14ac:dyDescent="0.4">
      <c r="B12" s="76"/>
      <c r="C12" s="9" t="s">
        <v>17</v>
      </c>
      <c r="D12" s="5">
        <v>245</v>
      </c>
      <c r="E12" s="5">
        <v>274</v>
      </c>
      <c r="F12" s="5" t="s">
        <v>80</v>
      </c>
    </row>
    <row r="13" spans="2:7" x14ac:dyDescent="0.4">
      <c r="B13" s="76"/>
      <c r="C13" s="9" t="s">
        <v>20</v>
      </c>
      <c r="D13" s="5">
        <v>275</v>
      </c>
      <c r="E13" s="5">
        <v>304</v>
      </c>
      <c r="F13" s="5" t="s">
        <v>92</v>
      </c>
    </row>
    <row r="14" spans="2:7" x14ac:dyDescent="0.4">
      <c r="B14" s="76"/>
      <c r="C14" s="9" t="s">
        <v>21</v>
      </c>
      <c r="D14" s="5">
        <v>305</v>
      </c>
      <c r="E14" s="5">
        <v>334</v>
      </c>
      <c r="F14" s="5" t="s">
        <v>93</v>
      </c>
    </row>
    <row r="15" spans="2:7" ht="19.5" thickBot="1" x14ac:dyDescent="0.45">
      <c r="B15" s="77"/>
      <c r="C15" s="11" t="s">
        <v>30</v>
      </c>
      <c r="D15" s="48">
        <v>335</v>
      </c>
      <c r="E15" s="48">
        <v>364</v>
      </c>
      <c r="F15" s="48" t="s">
        <v>94</v>
      </c>
    </row>
    <row r="16" spans="2:7" x14ac:dyDescent="0.4">
      <c r="B16" s="75" t="s">
        <v>31</v>
      </c>
      <c r="C16" s="49" t="s">
        <v>24</v>
      </c>
      <c r="D16" s="47">
        <v>365</v>
      </c>
      <c r="E16" s="47">
        <v>394</v>
      </c>
      <c r="F16" s="47" t="s">
        <v>95</v>
      </c>
    </row>
    <row r="17" spans="2:6" x14ac:dyDescent="0.4">
      <c r="B17" s="76"/>
      <c r="C17" s="7" t="s">
        <v>25</v>
      </c>
      <c r="D17" s="5">
        <v>395</v>
      </c>
      <c r="E17" s="5">
        <v>424</v>
      </c>
      <c r="F17" s="5" t="s">
        <v>96</v>
      </c>
    </row>
    <row r="18" spans="2:6" x14ac:dyDescent="0.4">
      <c r="B18" s="76"/>
      <c r="C18" s="7" t="s">
        <v>26</v>
      </c>
      <c r="D18" s="5">
        <v>425</v>
      </c>
      <c r="E18" s="5">
        <v>454</v>
      </c>
      <c r="F18" s="5" t="s">
        <v>97</v>
      </c>
    </row>
    <row r="19" spans="2:6" x14ac:dyDescent="0.4">
      <c r="B19" s="76"/>
      <c r="C19" s="9" t="s">
        <v>19</v>
      </c>
      <c r="D19" s="5">
        <v>455</v>
      </c>
      <c r="E19" s="5">
        <v>484</v>
      </c>
      <c r="F19" s="5" t="s">
        <v>98</v>
      </c>
    </row>
    <row r="20" spans="2:6" x14ac:dyDescent="0.4">
      <c r="B20" s="76"/>
      <c r="C20" s="52" t="s">
        <v>18</v>
      </c>
      <c r="D20" s="5">
        <v>485</v>
      </c>
      <c r="E20" s="5">
        <v>514</v>
      </c>
      <c r="F20" s="5" t="s">
        <v>99</v>
      </c>
    </row>
    <row r="21" spans="2:6" ht="18.75" customHeight="1" x14ac:dyDescent="0.4">
      <c r="B21" s="76"/>
      <c r="C21" s="51" t="s">
        <v>27</v>
      </c>
      <c r="D21" s="5">
        <v>515</v>
      </c>
      <c r="E21" s="5">
        <v>544</v>
      </c>
      <c r="F21" s="5" t="s">
        <v>100</v>
      </c>
    </row>
    <row r="22" spans="2:6" x14ac:dyDescent="0.4">
      <c r="B22" s="76"/>
      <c r="C22" s="8" t="s">
        <v>456</v>
      </c>
      <c r="D22" s="5">
        <v>545</v>
      </c>
      <c r="E22" s="5">
        <v>574</v>
      </c>
      <c r="F22" s="5" t="s">
        <v>460</v>
      </c>
    </row>
    <row r="23" spans="2:6" x14ac:dyDescent="0.4">
      <c r="B23" s="76"/>
      <c r="C23" s="8" t="s">
        <v>457</v>
      </c>
      <c r="D23" s="5">
        <v>575</v>
      </c>
      <c r="E23" s="5">
        <v>604</v>
      </c>
      <c r="F23" s="5" t="s">
        <v>461</v>
      </c>
    </row>
    <row r="24" spans="2:6" ht="19.5" thickBot="1" x14ac:dyDescent="0.45">
      <c r="B24" s="77"/>
      <c r="C24" s="11" t="s">
        <v>17</v>
      </c>
      <c r="D24" s="48">
        <v>605</v>
      </c>
      <c r="E24" s="48">
        <v>634</v>
      </c>
      <c r="F24" s="48" t="s">
        <v>101</v>
      </c>
    </row>
    <row r="25" spans="2:6" x14ac:dyDescent="0.4">
      <c r="B25" s="76" t="s">
        <v>37</v>
      </c>
      <c r="C25" s="10" t="s">
        <v>17</v>
      </c>
      <c r="D25" s="47">
        <v>635</v>
      </c>
      <c r="E25" s="47">
        <v>666</v>
      </c>
      <c r="F25" s="47" t="s">
        <v>82</v>
      </c>
    </row>
    <row r="26" spans="2:6" x14ac:dyDescent="0.4">
      <c r="B26" s="76"/>
      <c r="C26" s="13" t="s">
        <v>18</v>
      </c>
      <c r="D26" s="5">
        <v>667</v>
      </c>
      <c r="E26" s="5">
        <v>698</v>
      </c>
      <c r="F26" s="5" t="s">
        <v>83</v>
      </c>
    </row>
    <row r="27" spans="2:6" x14ac:dyDescent="0.4">
      <c r="B27" s="76"/>
      <c r="C27" s="9" t="s">
        <v>19</v>
      </c>
      <c r="D27" s="5">
        <v>699</v>
      </c>
      <c r="E27" s="5">
        <v>730</v>
      </c>
      <c r="F27" s="5" t="s">
        <v>84</v>
      </c>
    </row>
    <row r="28" spans="2:6" x14ac:dyDescent="0.4">
      <c r="B28" s="76"/>
      <c r="C28" s="9" t="s">
        <v>20</v>
      </c>
      <c r="D28" s="5">
        <v>731</v>
      </c>
      <c r="E28" s="5">
        <v>762</v>
      </c>
      <c r="F28" s="5" t="s">
        <v>85</v>
      </c>
    </row>
    <row r="29" spans="2:6" ht="19.5" thickBot="1" x14ac:dyDescent="0.45">
      <c r="B29" s="77"/>
      <c r="C29" s="11" t="s">
        <v>21</v>
      </c>
      <c r="D29" s="5">
        <v>763</v>
      </c>
      <c r="E29" s="5">
        <v>794</v>
      </c>
      <c r="F29" s="5" t="s">
        <v>86</v>
      </c>
    </row>
  </sheetData>
  <mergeCells count="3">
    <mergeCell ref="B25:B29"/>
    <mergeCell ref="B4:B15"/>
    <mergeCell ref="B16:B24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C7761-589E-4416-B07E-146CEE10B6DA}">
  <sheetPr codeName="Sheet11"/>
  <dimension ref="B1:G21"/>
  <sheetViews>
    <sheetView workbookViewId="0">
      <selection activeCell="H14" sqref="H14"/>
    </sheetView>
  </sheetViews>
  <sheetFormatPr defaultRowHeight="18.75" x14ac:dyDescent="0.4"/>
  <cols>
    <col min="2" max="3" width="19.25" bestFit="1" customWidth="1"/>
    <col min="4" max="4" width="13" bestFit="1" customWidth="1"/>
    <col min="5" max="5" width="17.25" bestFit="1" customWidth="1"/>
    <col min="6" max="6" width="7.125" bestFit="1" customWidth="1"/>
    <col min="7" max="7" width="15.125" bestFit="1" customWidth="1"/>
  </cols>
  <sheetData>
    <row r="1" spans="2:7" x14ac:dyDescent="0.4">
      <c r="C1" t="s">
        <v>776</v>
      </c>
      <c r="E1" t="s">
        <v>778</v>
      </c>
      <c r="G1" t="s">
        <v>775</v>
      </c>
    </row>
    <row r="2" spans="2:7" x14ac:dyDescent="0.4">
      <c r="B2" s="62" t="s">
        <v>774</v>
      </c>
      <c r="C2" s="62" t="str">
        <f>(集計!G19)</f>
        <v>クリア明細書</v>
      </c>
      <c r="D2" s="62" t="s">
        <v>777</v>
      </c>
      <c r="E2" s="62" t="str">
        <f>(集計!H19)</f>
        <v>201604～</v>
      </c>
      <c r="F2" s="62" t="s">
        <v>773</v>
      </c>
      <c r="G2" s="63" t="str">
        <f>TEXT(集計!D2,"yyyy年mm月")</f>
        <v>2017年09月</v>
      </c>
    </row>
    <row r="3" spans="2:7" ht="19.5" thickBot="1" x14ac:dyDescent="0.45">
      <c r="C3" s="1" t="s">
        <v>0</v>
      </c>
      <c r="D3" s="1" t="s">
        <v>1</v>
      </c>
      <c r="E3" s="1" t="s">
        <v>2</v>
      </c>
      <c r="F3" s="1" t="s">
        <v>32</v>
      </c>
    </row>
    <row r="4" spans="2:7" x14ac:dyDescent="0.4">
      <c r="B4" s="75" t="s">
        <v>182</v>
      </c>
      <c r="C4" s="45" t="s">
        <v>24</v>
      </c>
      <c r="D4" s="15">
        <v>5</v>
      </c>
      <c r="E4" s="15">
        <v>34</v>
      </c>
      <c r="F4" s="23" t="s">
        <v>189</v>
      </c>
    </row>
    <row r="5" spans="2:7" x14ac:dyDescent="0.4">
      <c r="B5" s="76"/>
      <c r="C5" s="43" t="s">
        <v>25</v>
      </c>
      <c r="D5" s="15">
        <v>35</v>
      </c>
      <c r="E5" s="15">
        <v>64</v>
      </c>
      <c r="F5" s="24" t="s">
        <v>190</v>
      </c>
    </row>
    <row r="6" spans="2:7" x14ac:dyDescent="0.4">
      <c r="B6" s="76"/>
      <c r="C6" s="43" t="s">
        <v>26</v>
      </c>
      <c r="D6" s="15">
        <v>65</v>
      </c>
      <c r="E6" s="15">
        <v>94</v>
      </c>
      <c r="F6" s="24" t="s">
        <v>191</v>
      </c>
    </row>
    <row r="7" spans="2:7" x14ac:dyDescent="0.4">
      <c r="B7" s="76"/>
      <c r="C7" s="43" t="s">
        <v>19</v>
      </c>
      <c r="D7" s="15">
        <v>95</v>
      </c>
      <c r="E7" s="15">
        <v>124</v>
      </c>
      <c r="F7" s="24" t="s">
        <v>192</v>
      </c>
    </row>
    <row r="8" spans="2:7" x14ac:dyDescent="0.4">
      <c r="B8" s="76"/>
      <c r="C8" s="54" t="s">
        <v>18</v>
      </c>
      <c r="D8" s="55">
        <v>125</v>
      </c>
      <c r="E8" s="55">
        <v>154</v>
      </c>
      <c r="F8" s="56" t="s">
        <v>193</v>
      </c>
    </row>
    <row r="9" spans="2:7" ht="18.75" customHeight="1" x14ac:dyDescent="0.4">
      <c r="B9" s="76"/>
      <c r="C9" s="46" t="s">
        <v>27</v>
      </c>
      <c r="D9" s="33">
        <v>155</v>
      </c>
      <c r="E9" s="33">
        <v>184</v>
      </c>
      <c r="F9" s="36" t="s">
        <v>194</v>
      </c>
    </row>
    <row r="10" spans="2:7" x14ac:dyDescent="0.4">
      <c r="B10" s="76"/>
      <c r="C10" s="43" t="s">
        <v>17</v>
      </c>
      <c r="D10" s="15">
        <v>185</v>
      </c>
      <c r="E10" s="15">
        <v>214</v>
      </c>
      <c r="F10" s="24" t="s">
        <v>195</v>
      </c>
    </row>
    <row r="11" spans="2:7" x14ac:dyDescent="0.4">
      <c r="B11" s="76"/>
      <c r="C11" s="43" t="s">
        <v>20</v>
      </c>
      <c r="D11" s="15">
        <v>215</v>
      </c>
      <c r="E11" s="15">
        <v>244</v>
      </c>
      <c r="F11" s="24" t="s">
        <v>196</v>
      </c>
    </row>
    <row r="12" spans="2:7" x14ac:dyDescent="0.4">
      <c r="B12" s="76"/>
      <c r="C12" s="43" t="s">
        <v>21</v>
      </c>
      <c r="D12" s="15">
        <v>245</v>
      </c>
      <c r="E12" s="15">
        <v>274</v>
      </c>
      <c r="F12" s="24" t="s">
        <v>197</v>
      </c>
    </row>
    <row r="13" spans="2:7" ht="19.5" thickBot="1" x14ac:dyDescent="0.45">
      <c r="B13" s="77"/>
      <c r="C13" s="40" t="s">
        <v>30</v>
      </c>
      <c r="D13" s="26">
        <v>275</v>
      </c>
      <c r="E13" s="26">
        <v>304</v>
      </c>
      <c r="F13" s="27" t="s">
        <v>198</v>
      </c>
    </row>
    <row r="14" spans="2:7" x14ac:dyDescent="0.4">
      <c r="B14" s="76" t="s">
        <v>183</v>
      </c>
      <c r="C14" s="45" t="s">
        <v>142</v>
      </c>
      <c r="D14" s="53">
        <v>305</v>
      </c>
      <c r="E14" s="53">
        <v>334</v>
      </c>
      <c r="F14" s="23" t="s">
        <v>201</v>
      </c>
    </row>
    <row r="15" spans="2:7" x14ac:dyDescent="0.4">
      <c r="B15" s="76"/>
      <c r="C15" s="44" t="s">
        <v>18</v>
      </c>
      <c r="D15" s="15">
        <v>335</v>
      </c>
      <c r="E15" s="15">
        <v>364</v>
      </c>
      <c r="F15" s="24" t="s">
        <v>200</v>
      </c>
    </row>
    <row r="16" spans="2:7" ht="19.5" thickBot="1" x14ac:dyDescent="0.45">
      <c r="B16" s="77"/>
      <c r="C16" s="40" t="s">
        <v>19</v>
      </c>
      <c r="D16" s="26">
        <v>365</v>
      </c>
      <c r="E16" s="26">
        <v>394</v>
      </c>
      <c r="F16" s="27" t="s">
        <v>199</v>
      </c>
    </row>
    <row r="17" spans="2:6" x14ac:dyDescent="0.4">
      <c r="B17" s="79" t="s">
        <v>22</v>
      </c>
      <c r="C17" s="45" t="s">
        <v>17</v>
      </c>
      <c r="D17" s="53">
        <v>395</v>
      </c>
      <c r="E17" s="53">
        <v>426</v>
      </c>
      <c r="F17" s="23" t="s">
        <v>184</v>
      </c>
    </row>
    <row r="18" spans="2:6" x14ac:dyDescent="0.4">
      <c r="B18" s="80"/>
      <c r="C18" s="54" t="s">
        <v>18</v>
      </c>
      <c r="D18" s="55">
        <v>427</v>
      </c>
      <c r="E18" s="55">
        <v>458</v>
      </c>
      <c r="F18" s="56" t="s">
        <v>185</v>
      </c>
    </row>
    <row r="19" spans="2:6" ht="18.75" customHeight="1" x14ac:dyDescent="0.4">
      <c r="B19" s="80"/>
      <c r="C19" s="46" t="s">
        <v>19</v>
      </c>
      <c r="D19" s="33">
        <v>459</v>
      </c>
      <c r="E19" s="33">
        <v>490</v>
      </c>
      <c r="F19" s="36" t="s">
        <v>186</v>
      </c>
    </row>
    <row r="20" spans="2:6" x14ac:dyDescent="0.4">
      <c r="B20" s="80"/>
      <c r="C20" s="43" t="s">
        <v>20</v>
      </c>
      <c r="D20" s="15">
        <v>491</v>
      </c>
      <c r="E20" s="15">
        <v>522</v>
      </c>
      <c r="F20" s="24" t="s">
        <v>187</v>
      </c>
    </row>
    <row r="21" spans="2:6" ht="19.5" thickBot="1" x14ac:dyDescent="0.45">
      <c r="B21" s="81"/>
      <c r="C21" s="40" t="s">
        <v>21</v>
      </c>
      <c r="D21" s="26">
        <v>523</v>
      </c>
      <c r="E21" s="26">
        <v>554</v>
      </c>
      <c r="F21" s="27" t="s">
        <v>188</v>
      </c>
    </row>
  </sheetData>
  <autoFilter ref="C3:F21" xr:uid="{885418F4-0204-4D41-A02B-F0C7ACC1E72D}">
    <sortState ref="C4:F21">
      <sortCondition ref="D3:D21"/>
    </sortState>
  </autoFilter>
  <mergeCells count="3">
    <mergeCell ref="B17:B21"/>
    <mergeCell ref="B4:B13"/>
    <mergeCell ref="B14:B16"/>
  </mergeCells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61BBE-8231-4A0E-B7AF-2302E6727E59}">
  <sheetPr codeName="Sheet12"/>
  <dimension ref="B1:G42"/>
  <sheetViews>
    <sheetView workbookViewId="0">
      <selection activeCell="E2" sqref="E2"/>
    </sheetView>
  </sheetViews>
  <sheetFormatPr defaultRowHeight="18.75" x14ac:dyDescent="0.4"/>
  <cols>
    <col min="2" max="3" width="19.25" bestFit="1" customWidth="1"/>
    <col min="4" max="4" width="13" bestFit="1" customWidth="1"/>
    <col min="5" max="5" width="17.25" bestFit="1" customWidth="1"/>
    <col min="6" max="6" width="7.125" bestFit="1" customWidth="1"/>
    <col min="7" max="7" width="15.125" bestFit="1" customWidth="1"/>
  </cols>
  <sheetData>
    <row r="1" spans="2:7" x14ac:dyDescent="0.4">
      <c r="C1" t="s">
        <v>776</v>
      </c>
      <c r="E1" t="s">
        <v>778</v>
      </c>
      <c r="G1" t="s">
        <v>775</v>
      </c>
    </row>
    <row r="2" spans="2:7" x14ac:dyDescent="0.4">
      <c r="B2" s="62" t="s">
        <v>774</v>
      </c>
      <c r="C2" s="62" t="str">
        <f>(集計!G20)</f>
        <v>幸人明細書</v>
      </c>
      <c r="D2" s="62" t="s">
        <v>777</v>
      </c>
      <c r="E2" s="62" t="str">
        <f>(集計!H20)</f>
        <v>201604～</v>
      </c>
      <c r="F2" s="62" t="s">
        <v>773</v>
      </c>
      <c r="G2" s="63" t="str">
        <f>TEXT(集計!D2,"yyyy年mm月")</f>
        <v>2017年09月</v>
      </c>
    </row>
    <row r="3" spans="2:7" x14ac:dyDescent="0.4">
      <c r="C3" s="1" t="s">
        <v>0</v>
      </c>
      <c r="D3" s="1" t="s">
        <v>1</v>
      </c>
      <c r="E3" s="1" t="s">
        <v>2</v>
      </c>
      <c r="F3" s="1" t="s">
        <v>32</v>
      </c>
    </row>
    <row r="4" spans="2:7" ht="19.5" thickBot="1" x14ac:dyDescent="0.45">
      <c r="C4" s="15" t="s">
        <v>3</v>
      </c>
      <c r="D4" s="15">
        <v>5</v>
      </c>
      <c r="E4" s="15">
        <v>35</v>
      </c>
      <c r="F4" s="15" t="s">
        <v>202</v>
      </c>
    </row>
    <row r="5" spans="2:7" x14ac:dyDescent="0.4">
      <c r="B5" s="79" t="s">
        <v>16</v>
      </c>
      <c r="C5" s="29" t="s">
        <v>138</v>
      </c>
      <c r="D5" s="22">
        <v>36</v>
      </c>
      <c r="E5" s="22">
        <v>67</v>
      </c>
      <c r="F5" s="23" t="s">
        <v>205</v>
      </c>
    </row>
    <row r="6" spans="2:7" x14ac:dyDescent="0.4">
      <c r="B6" s="80"/>
      <c r="C6" s="18" t="s">
        <v>139</v>
      </c>
      <c r="D6" s="1">
        <v>68</v>
      </c>
      <c r="E6" s="1">
        <v>99</v>
      </c>
      <c r="F6" s="24" t="s">
        <v>206</v>
      </c>
    </row>
    <row r="7" spans="2:7" x14ac:dyDescent="0.4">
      <c r="B7" s="80"/>
      <c r="C7" s="18" t="s">
        <v>140</v>
      </c>
      <c r="D7" s="1">
        <v>100</v>
      </c>
      <c r="E7" s="1">
        <v>131</v>
      </c>
      <c r="F7" s="57" t="s">
        <v>207</v>
      </c>
    </row>
    <row r="8" spans="2:7" x14ac:dyDescent="0.4">
      <c r="B8" s="80"/>
      <c r="C8" s="18" t="s">
        <v>141</v>
      </c>
      <c r="D8" s="1">
        <v>132</v>
      </c>
      <c r="E8" s="1">
        <v>163</v>
      </c>
      <c r="F8" s="24" t="s">
        <v>208</v>
      </c>
    </row>
    <row r="9" spans="2:7" x14ac:dyDescent="0.4">
      <c r="B9" s="80"/>
      <c r="C9" s="18" t="s">
        <v>6</v>
      </c>
      <c r="D9" s="1">
        <v>164</v>
      </c>
      <c r="E9" s="1">
        <v>195</v>
      </c>
      <c r="F9" s="34" t="s">
        <v>209</v>
      </c>
    </row>
    <row r="10" spans="2:7" x14ac:dyDescent="0.4">
      <c r="B10" s="80"/>
      <c r="C10" s="18" t="s">
        <v>7</v>
      </c>
      <c r="D10" s="1">
        <v>196</v>
      </c>
      <c r="E10" s="1">
        <v>227</v>
      </c>
      <c r="F10" s="24" t="s">
        <v>210</v>
      </c>
    </row>
    <row r="11" spans="2:7" x14ac:dyDescent="0.4">
      <c r="B11" s="80"/>
      <c r="C11" s="18" t="s">
        <v>8</v>
      </c>
      <c r="D11" s="1">
        <v>228</v>
      </c>
      <c r="E11" s="1">
        <v>259</v>
      </c>
      <c r="F11" s="24" t="s">
        <v>211</v>
      </c>
    </row>
    <row r="12" spans="2:7" x14ac:dyDescent="0.4">
      <c r="B12" s="80"/>
      <c r="C12" s="59" t="s">
        <v>9</v>
      </c>
      <c r="D12" s="15">
        <v>260</v>
      </c>
      <c r="E12" s="1">
        <v>291</v>
      </c>
      <c r="F12" s="24" t="s">
        <v>212</v>
      </c>
    </row>
    <row r="13" spans="2:7" x14ac:dyDescent="0.4">
      <c r="B13" s="80"/>
      <c r="C13" s="38" t="s">
        <v>14</v>
      </c>
      <c r="D13" s="1">
        <v>292</v>
      </c>
      <c r="E13" s="35">
        <v>323</v>
      </c>
      <c r="F13" s="36" t="s">
        <v>213</v>
      </c>
    </row>
    <row r="14" spans="2:7" x14ac:dyDescent="0.4">
      <c r="B14" s="80"/>
      <c r="C14" s="59" t="s">
        <v>15</v>
      </c>
      <c r="D14" s="15">
        <v>324</v>
      </c>
      <c r="E14" s="15">
        <v>355</v>
      </c>
      <c r="F14" s="32" t="s">
        <v>214</v>
      </c>
    </row>
    <row r="15" spans="2:7" x14ac:dyDescent="0.4">
      <c r="B15" s="80"/>
      <c r="C15" s="38" t="s">
        <v>4</v>
      </c>
      <c r="D15" s="1">
        <v>356</v>
      </c>
      <c r="E15" s="1">
        <v>387</v>
      </c>
      <c r="F15" s="24" t="s">
        <v>203</v>
      </c>
    </row>
    <row r="16" spans="2:7" ht="19.5" thickBot="1" x14ac:dyDescent="0.45">
      <c r="B16" s="81"/>
      <c r="C16" s="30" t="s">
        <v>5</v>
      </c>
      <c r="D16" s="1">
        <v>388</v>
      </c>
      <c r="E16" s="1">
        <v>419</v>
      </c>
      <c r="F16" s="27" t="s">
        <v>204</v>
      </c>
    </row>
    <row r="17" spans="2:6" x14ac:dyDescent="0.4">
      <c r="B17" s="75" t="s">
        <v>23</v>
      </c>
      <c r="C17" s="45" t="s">
        <v>24</v>
      </c>
      <c r="D17" s="22">
        <v>420</v>
      </c>
      <c r="E17" s="22">
        <v>449</v>
      </c>
      <c r="F17" s="23" t="s">
        <v>220</v>
      </c>
    </row>
    <row r="18" spans="2:6" x14ac:dyDescent="0.4">
      <c r="B18" s="76"/>
      <c r="C18" s="43" t="s">
        <v>25</v>
      </c>
      <c r="D18" s="1">
        <v>450</v>
      </c>
      <c r="E18" s="1">
        <v>479</v>
      </c>
      <c r="F18" s="24" t="s">
        <v>221</v>
      </c>
    </row>
    <row r="19" spans="2:6" x14ac:dyDescent="0.4">
      <c r="B19" s="76"/>
      <c r="C19" s="43" t="s">
        <v>26</v>
      </c>
      <c r="D19" s="1">
        <v>480</v>
      </c>
      <c r="E19" s="1">
        <v>509</v>
      </c>
      <c r="F19" s="24" t="s">
        <v>222</v>
      </c>
    </row>
    <row r="20" spans="2:6" x14ac:dyDescent="0.4">
      <c r="B20" s="76"/>
      <c r="C20" s="43" t="s">
        <v>19</v>
      </c>
      <c r="D20" s="1">
        <v>510</v>
      </c>
      <c r="E20" s="1">
        <v>539</v>
      </c>
      <c r="F20" s="24" t="s">
        <v>223</v>
      </c>
    </row>
    <row r="21" spans="2:6" x14ac:dyDescent="0.4">
      <c r="B21" s="76"/>
      <c r="C21" s="43" t="s">
        <v>18</v>
      </c>
      <c r="D21" s="1">
        <v>540</v>
      </c>
      <c r="E21" s="1">
        <v>569</v>
      </c>
      <c r="F21" s="24" t="s">
        <v>224</v>
      </c>
    </row>
    <row r="22" spans="2:6" ht="18.75" customHeight="1" x14ac:dyDescent="0.4">
      <c r="B22" s="76"/>
      <c r="C22" s="46" t="s">
        <v>27</v>
      </c>
      <c r="D22" s="35">
        <v>570</v>
      </c>
      <c r="E22" s="35">
        <v>599</v>
      </c>
      <c r="F22" s="36" t="s">
        <v>225</v>
      </c>
    </row>
    <row r="23" spans="2:6" x14ac:dyDescent="0.4">
      <c r="B23" s="76"/>
      <c r="C23" s="43" t="s">
        <v>28</v>
      </c>
      <c r="D23" s="1">
        <v>600</v>
      </c>
      <c r="E23" s="1">
        <v>629</v>
      </c>
      <c r="F23" s="24" t="s">
        <v>226</v>
      </c>
    </row>
    <row r="24" spans="2:6" x14ac:dyDescent="0.4">
      <c r="B24" s="76"/>
      <c r="C24" s="43" t="s">
        <v>29</v>
      </c>
      <c r="D24" s="1">
        <v>630</v>
      </c>
      <c r="E24" s="1">
        <v>659</v>
      </c>
      <c r="F24" s="24" t="s">
        <v>227</v>
      </c>
    </row>
    <row r="25" spans="2:6" x14ac:dyDescent="0.4">
      <c r="B25" s="76"/>
      <c r="C25" s="43" t="s">
        <v>17</v>
      </c>
      <c r="D25" s="1">
        <v>660</v>
      </c>
      <c r="E25" s="1">
        <v>689</v>
      </c>
      <c r="F25" s="24" t="s">
        <v>228</v>
      </c>
    </row>
    <row r="26" spans="2:6" x14ac:dyDescent="0.4">
      <c r="B26" s="76"/>
      <c r="C26" s="43" t="s">
        <v>20</v>
      </c>
      <c r="D26" s="1">
        <v>690</v>
      </c>
      <c r="E26" s="1">
        <v>719</v>
      </c>
      <c r="F26" s="24" t="s">
        <v>229</v>
      </c>
    </row>
    <row r="27" spans="2:6" x14ac:dyDescent="0.4">
      <c r="B27" s="76"/>
      <c r="C27" s="43" t="s">
        <v>21</v>
      </c>
      <c r="D27" s="1">
        <v>720</v>
      </c>
      <c r="E27" s="1">
        <v>749</v>
      </c>
      <c r="F27" s="24" t="s">
        <v>230</v>
      </c>
    </row>
    <row r="28" spans="2:6" ht="19.5" thickBot="1" x14ac:dyDescent="0.45">
      <c r="B28" s="77"/>
      <c r="C28" s="40" t="s">
        <v>30</v>
      </c>
      <c r="D28" s="26">
        <v>750</v>
      </c>
      <c r="E28" s="26">
        <v>779</v>
      </c>
      <c r="F28" s="27" t="s">
        <v>231</v>
      </c>
    </row>
    <row r="29" spans="2:6" x14ac:dyDescent="0.4">
      <c r="B29" s="75" t="s">
        <v>31</v>
      </c>
      <c r="C29" s="42" t="s">
        <v>24</v>
      </c>
      <c r="D29" s="22">
        <v>780</v>
      </c>
      <c r="E29" s="22">
        <v>809</v>
      </c>
      <c r="F29" s="23" t="s">
        <v>232</v>
      </c>
    </row>
    <row r="30" spans="2:6" x14ac:dyDescent="0.4">
      <c r="B30" s="76"/>
      <c r="C30" s="38" t="s">
        <v>25</v>
      </c>
      <c r="D30" s="1">
        <v>810</v>
      </c>
      <c r="E30" s="1">
        <v>839</v>
      </c>
      <c r="F30" s="24" t="s">
        <v>233</v>
      </c>
    </row>
    <row r="31" spans="2:6" x14ac:dyDescent="0.4">
      <c r="B31" s="76"/>
      <c r="C31" s="38" t="s">
        <v>26</v>
      </c>
      <c r="D31" s="1">
        <v>840</v>
      </c>
      <c r="E31" s="1">
        <v>869</v>
      </c>
      <c r="F31" s="24" t="s">
        <v>234</v>
      </c>
    </row>
    <row r="32" spans="2:6" x14ac:dyDescent="0.4">
      <c r="B32" s="76"/>
      <c r="C32" s="43" t="s">
        <v>19</v>
      </c>
      <c r="D32" s="1">
        <v>870</v>
      </c>
      <c r="E32" s="1">
        <v>899</v>
      </c>
      <c r="F32" s="24" t="s">
        <v>235</v>
      </c>
    </row>
    <row r="33" spans="2:6" x14ac:dyDescent="0.4">
      <c r="B33" s="76"/>
      <c r="C33" s="44" t="s">
        <v>18</v>
      </c>
      <c r="D33" s="1">
        <v>900</v>
      </c>
      <c r="E33" s="1">
        <v>929</v>
      </c>
      <c r="F33" s="24" t="s">
        <v>236</v>
      </c>
    </row>
    <row r="34" spans="2:6" ht="18.75" customHeight="1" x14ac:dyDescent="0.4">
      <c r="B34" s="76"/>
      <c r="C34" s="37" t="s">
        <v>27</v>
      </c>
      <c r="D34" s="35">
        <v>930</v>
      </c>
      <c r="E34" s="35">
        <v>959</v>
      </c>
      <c r="F34" s="36" t="s">
        <v>237</v>
      </c>
    </row>
    <row r="35" spans="2:6" x14ac:dyDescent="0.4">
      <c r="B35" s="76"/>
      <c r="C35" s="38" t="s">
        <v>28</v>
      </c>
      <c r="D35" s="1">
        <v>960</v>
      </c>
      <c r="E35" s="1">
        <v>989</v>
      </c>
      <c r="F35" s="24" t="s">
        <v>238</v>
      </c>
    </row>
    <row r="36" spans="2:6" x14ac:dyDescent="0.4">
      <c r="B36" s="76"/>
      <c r="C36" s="38" t="s">
        <v>29</v>
      </c>
      <c r="D36" s="1">
        <v>990</v>
      </c>
      <c r="E36" s="1">
        <v>1019</v>
      </c>
      <c r="F36" s="24" t="s">
        <v>239</v>
      </c>
    </row>
    <row r="37" spans="2:6" ht="19.5" thickBot="1" x14ac:dyDescent="0.45">
      <c r="B37" s="77"/>
      <c r="C37" s="40" t="s">
        <v>142</v>
      </c>
      <c r="D37" s="26">
        <v>1020</v>
      </c>
      <c r="E37" s="26">
        <v>1049</v>
      </c>
      <c r="F37" s="27" t="s">
        <v>240</v>
      </c>
    </row>
    <row r="38" spans="2:6" x14ac:dyDescent="0.4">
      <c r="B38" s="79" t="s">
        <v>22</v>
      </c>
      <c r="C38" s="41" t="s">
        <v>17</v>
      </c>
      <c r="D38" s="35">
        <v>1050</v>
      </c>
      <c r="E38" s="35">
        <v>1081</v>
      </c>
      <c r="F38" s="36" t="s">
        <v>215</v>
      </c>
    </row>
    <row r="39" spans="2:6" x14ac:dyDescent="0.4">
      <c r="B39" s="80"/>
      <c r="C39" s="19" t="s">
        <v>18</v>
      </c>
      <c r="D39" s="1">
        <v>1082</v>
      </c>
      <c r="E39" s="1">
        <v>1113</v>
      </c>
      <c r="F39" s="24" t="s">
        <v>216</v>
      </c>
    </row>
    <row r="40" spans="2:6" x14ac:dyDescent="0.4">
      <c r="B40" s="80"/>
      <c r="C40" s="19" t="s">
        <v>19</v>
      </c>
      <c r="D40" s="1">
        <v>1114</v>
      </c>
      <c r="E40" s="1">
        <v>1145</v>
      </c>
      <c r="F40" s="24" t="s">
        <v>217</v>
      </c>
    </row>
    <row r="41" spans="2:6" x14ac:dyDescent="0.4">
      <c r="B41" s="80"/>
      <c r="C41" s="19" t="s">
        <v>20</v>
      </c>
      <c r="D41" s="1">
        <v>1146</v>
      </c>
      <c r="E41" s="1">
        <v>1177</v>
      </c>
      <c r="F41" s="24" t="s">
        <v>218</v>
      </c>
    </row>
    <row r="42" spans="2:6" ht="19.5" thickBot="1" x14ac:dyDescent="0.45">
      <c r="B42" s="81"/>
      <c r="C42" s="25" t="s">
        <v>21</v>
      </c>
      <c r="D42" s="26">
        <v>1178</v>
      </c>
      <c r="E42" s="26">
        <v>1209</v>
      </c>
      <c r="F42" s="27" t="s">
        <v>219</v>
      </c>
    </row>
  </sheetData>
  <autoFilter ref="C4:F42" xr:uid="{22DE4F4D-F4E7-4FA1-BECE-9E67912DAA84}">
    <sortState ref="C5:F42">
      <sortCondition ref="D4:D42"/>
    </sortState>
  </autoFilter>
  <mergeCells count="4">
    <mergeCell ref="B5:B16"/>
    <mergeCell ref="B38:B42"/>
    <mergeCell ref="B17:B28"/>
    <mergeCell ref="B29:B37"/>
  </mergeCells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C14FF-86BF-4390-AC2B-DEFE2CE4191D}">
  <sheetPr codeName="Sheet13"/>
  <dimension ref="B1:G38"/>
  <sheetViews>
    <sheetView workbookViewId="0">
      <selection activeCell="C2" sqref="C2"/>
    </sheetView>
  </sheetViews>
  <sheetFormatPr defaultRowHeight="18.75" x14ac:dyDescent="0.4"/>
  <cols>
    <col min="2" max="3" width="19.25" bestFit="1" customWidth="1"/>
    <col min="4" max="4" width="13" bestFit="1" customWidth="1"/>
    <col min="5" max="5" width="17.25" bestFit="1" customWidth="1"/>
    <col min="6" max="6" width="7.125" bestFit="1" customWidth="1"/>
    <col min="7" max="7" width="15.125" bestFit="1" customWidth="1"/>
  </cols>
  <sheetData>
    <row r="1" spans="2:7" x14ac:dyDescent="0.4">
      <c r="C1" t="s">
        <v>776</v>
      </c>
      <c r="E1" t="s">
        <v>778</v>
      </c>
      <c r="G1" t="s">
        <v>775</v>
      </c>
    </row>
    <row r="2" spans="2:7" x14ac:dyDescent="0.4">
      <c r="B2" s="62" t="s">
        <v>774</v>
      </c>
      <c r="C2" s="62" t="str">
        <f>(集計!G21)</f>
        <v>DET香港明細書</v>
      </c>
      <c r="D2" s="62" t="s">
        <v>777</v>
      </c>
      <c r="E2" s="62" t="str">
        <f>(集計!H21)</f>
        <v>201604～</v>
      </c>
      <c r="F2" s="62" t="s">
        <v>773</v>
      </c>
      <c r="G2" s="63" t="str">
        <f>TEXT(集計!D2,"yyyy年mm月")</f>
        <v>2017年09月</v>
      </c>
    </row>
    <row r="3" spans="2:7" x14ac:dyDescent="0.4">
      <c r="C3" s="1" t="s">
        <v>0</v>
      </c>
      <c r="D3" s="1" t="s">
        <v>1</v>
      </c>
      <c r="E3" s="1" t="s">
        <v>2</v>
      </c>
      <c r="F3" s="1" t="s">
        <v>32</v>
      </c>
    </row>
    <row r="4" spans="2:7" ht="19.5" thickBot="1" x14ac:dyDescent="0.45">
      <c r="C4" s="15" t="s">
        <v>3</v>
      </c>
      <c r="D4" s="15">
        <v>5</v>
      </c>
      <c r="E4" s="15">
        <v>35</v>
      </c>
      <c r="F4" s="15" t="s">
        <v>241</v>
      </c>
    </row>
    <row r="5" spans="2:7" x14ac:dyDescent="0.4">
      <c r="B5" s="79" t="s">
        <v>16</v>
      </c>
      <c r="C5" s="29" t="s">
        <v>6</v>
      </c>
      <c r="D5" s="22">
        <v>36</v>
      </c>
      <c r="E5" s="22">
        <v>67</v>
      </c>
      <c r="F5" s="23" t="s">
        <v>244</v>
      </c>
    </row>
    <row r="6" spans="2:7" x14ac:dyDescent="0.4">
      <c r="B6" s="80"/>
      <c r="C6" s="18" t="s">
        <v>7</v>
      </c>
      <c r="D6" s="1">
        <v>68</v>
      </c>
      <c r="E6" s="1">
        <v>99</v>
      </c>
      <c r="F6" s="24" t="s">
        <v>245</v>
      </c>
    </row>
    <row r="7" spans="2:7" x14ac:dyDescent="0.4">
      <c r="B7" s="80"/>
      <c r="C7" s="18" t="s">
        <v>8</v>
      </c>
      <c r="D7" s="1">
        <v>100</v>
      </c>
      <c r="E7" s="1">
        <v>131</v>
      </c>
      <c r="F7" s="24" t="s">
        <v>246</v>
      </c>
    </row>
    <row r="8" spans="2:7" x14ac:dyDescent="0.4">
      <c r="B8" s="80"/>
      <c r="C8" s="18" t="s">
        <v>9</v>
      </c>
      <c r="D8" s="1">
        <v>132</v>
      </c>
      <c r="E8" s="1">
        <v>163</v>
      </c>
      <c r="F8" s="24" t="s">
        <v>247</v>
      </c>
    </row>
    <row r="9" spans="2:7" x14ac:dyDescent="0.4">
      <c r="B9" s="80"/>
      <c r="C9" s="18" t="s">
        <v>14</v>
      </c>
      <c r="D9" s="1">
        <v>164</v>
      </c>
      <c r="E9" s="1">
        <v>195</v>
      </c>
      <c r="F9" s="24" t="s">
        <v>248</v>
      </c>
    </row>
    <row r="10" spans="2:7" x14ac:dyDescent="0.4">
      <c r="B10" s="80"/>
      <c r="C10" s="18" t="s">
        <v>15</v>
      </c>
      <c r="D10" s="1">
        <v>196</v>
      </c>
      <c r="E10" s="1">
        <v>227</v>
      </c>
      <c r="F10" s="24" t="s">
        <v>249</v>
      </c>
    </row>
    <row r="11" spans="2:7" x14ac:dyDescent="0.4">
      <c r="B11" s="80"/>
      <c r="C11" s="18" t="s">
        <v>4</v>
      </c>
      <c r="D11" s="1">
        <v>228</v>
      </c>
      <c r="E11" s="1">
        <v>259</v>
      </c>
      <c r="F11" s="24" t="s">
        <v>242</v>
      </c>
    </row>
    <row r="12" spans="2:7" ht="19.5" thickBot="1" x14ac:dyDescent="0.45">
      <c r="B12" s="81"/>
      <c r="C12" s="30" t="s">
        <v>5</v>
      </c>
      <c r="D12" s="26">
        <v>260</v>
      </c>
      <c r="E12" s="26">
        <v>291</v>
      </c>
      <c r="F12" s="27" t="s">
        <v>243</v>
      </c>
    </row>
    <row r="13" spans="2:7" x14ac:dyDescent="0.4">
      <c r="B13" s="75" t="s">
        <v>23</v>
      </c>
      <c r="C13" s="45" t="s">
        <v>24</v>
      </c>
      <c r="D13" s="22">
        <v>292</v>
      </c>
      <c r="E13" s="22">
        <v>321</v>
      </c>
      <c r="F13" s="23" t="s">
        <v>255</v>
      </c>
    </row>
    <row r="14" spans="2:7" x14ac:dyDescent="0.4">
      <c r="B14" s="76"/>
      <c r="C14" s="43" t="s">
        <v>25</v>
      </c>
      <c r="D14" s="1">
        <v>322</v>
      </c>
      <c r="E14" s="1">
        <v>351</v>
      </c>
      <c r="F14" s="24" t="s">
        <v>256</v>
      </c>
    </row>
    <row r="15" spans="2:7" x14ac:dyDescent="0.4">
      <c r="B15" s="76"/>
      <c r="C15" s="43" t="s">
        <v>26</v>
      </c>
      <c r="D15" s="1">
        <v>352</v>
      </c>
      <c r="E15" s="1">
        <v>381</v>
      </c>
      <c r="F15" s="24" t="s">
        <v>257</v>
      </c>
    </row>
    <row r="16" spans="2:7" x14ac:dyDescent="0.4">
      <c r="B16" s="76"/>
      <c r="C16" s="43" t="s">
        <v>19</v>
      </c>
      <c r="D16" s="1">
        <v>382</v>
      </c>
      <c r="E16" s="1">
        <v>411</v>
      </c>
      <c r="F16" s="24" t="s">
        <v>258</v>
      </c>
    </row>
    <row r="17" spans="2:6" x14ac:dyDescent="0.4">
      <c r="B17" s="76"/>
      <c r="C17" s="43" t="s">
        <v>18</v>
      </c>
      <c r="D17" s="1">
        <v>412</v>
      </c>
      <c r="E17" s="1">
        <v>441</v>
      </c>
      <c r="F17" s="24" t="s">
        <v>259</v>
      </c>
    </row>
    <row r="18" spans="2:6" ht="18.75" customHeight="1" x14ac:dyDescent="0.4">
      <c r="B18" s="76"/>
      <c r="C18" s="46" t="s">
        <v>27</v>
      </c>
      <c r="D18" s="35">
        <v>442</v>
      </c>
      <c r="E18" s="35">
        <v>471</v>
      </c>
      <c r="F18" s="36" t="s">
        <v>260</v>
      </c>
    </row>
    <row r="19" spans="2:6" x14ac:dyDescent="0.4">
      <c r="B19" s="76"/>
      <c r="C19" s="43" t="s">
        <v>28</v>
      </c>
      <c r="D19" s="1">
        <v>472</v>
      </c>
      <c r="E19" s="1">
        <v>501</v>
      </c>
      <c r="F19" s="24" t="s">
        <v>261</v>
      </c>
    </row>
    <row r="20" spans="2:6" x14ac:dyDescent="0.4">
      <c r="B20" s="76"/>
      <c r="C20" s="43" t="s">
        <v>29</v>
      </c>
      <c r="D20" s="1">
        <v>502</v>
      </c>
      <c r="E20" s="1">
        <v>531</v>
      </c>
      <c r="F20" s="24" t="s">
        <v>262</v>
      </c>
    </row>
    <row r="21" spans="2:6" x14ac:dyDescent="0.4">
      <c r="B21" s="76"/>
      <c r="C21" s="43" t="s">
        <v>17</v>
      </c>
      <c r="D21" s="1">
        <v>532</v>
      </c>
      <c r="E21" s="1">
        <v>561</v>
      </c>
      <c r="F21" s="24" t="s">
        <v>263</v>
      </c>
    </row>
    <row r="22" spans="2:6" ht="18.75" customHeight="1" x14ac:dyDescent="0.4">
      <c r="B22" s="76"/>
      <c r="C22" s="43" t="s">
        <v>20</v>
      </c>
      <c r="D22" s="1">
        <v>562</v>
      </c>
      <c r="E22" s="1">
        <v>591</v>
      </c>
      <c r="F22" s="24" t="s">
        <v>264</v>
      </c>
    </row>
    <row r="23" spans="2:6" x14ac:dyDescent="0.4">
      <c r="B23" s="76"/>
      <c r="C23" s="43" t="s">
        <v>21</v>
      </c>
      <c r="D23" s="1">
        <v>592</v>
      </c>
      <c r="E23" s="1">
        <v>621</v>
      </c>
      <c r="F23" s="24" t="s">
        <v>265</v>
      </c>
    </row>
    <row r="24" spans="2:6" ht="19.5" thickBot="1" x14ac:dyDescent="0.45">
      <c r="B24" s="77"/>
      <c r="C24" s="40" t="s">
        <v>30</v>
      </c>
      <c r="D24" s="26">
        <v>622</v>
      </c>
      <c r="E24" s="26">
        <v>651</v>
      </c>
      <c r="F24" s="27" t="s">
        <v>266</v>
      </c>
    </row>
    <row r="25" spans="2:6" x14ac:dyDescent="0.4">
      <c r="B25" s="75" t="s">
        <v>31</v>
      </c>
      <c r="C25" s="39" t="s">
        <v>24</v>
      </c>
      <c r="D25" s="35">
        <v>652</v>
      </c>
      <c r="E25" s="35">
        <v>681</v>
      </c>
      <c r="F25" s="36" t="s">
        <v>267</v>
      </c>
    </row>
    <row r="26" spans="2:6" x14ac:dyDescent="0.4">
      <c r="B26" s="76"/>
      <c r="C26" s="38" t="s">
        <v>25</v>
      </c>
      <c r="D26" s="1">
        <v>682</v>
      </c>
      <c r="E26" s="1">
        <v>711</v>
      </c>
      <c r="F26" s="24" t="s">
        <v>268</v>
      </c>
    </row>
    <row r="27" spans="2:6" x14ac:dyDescent="0.4">
      <c r="B27" s="76"/>
      <c r="C27" s="38" t="s">
        <v>26</v>
      </c>
      <c r="D27" s="1">
        <v>712</v>
      </c>
      <c r="E27" s="1">
        <v>741</v>
      </c>
      <c r="F27" s="24" t="s">
        <v>269</v>
      </c>
    </row>
    <row r="28" spans="2:6" x14ac:dyDescent="0.4">
      <c r="B28" s="76"/>
      <c r="C28" s="43" t="s">
        <v>19</v>
      </c>
      <c r="D28" s="1">
        <v>742</v>
      </c>
      <c r="E28" s="1">
        <v>771</v>
      </c>
      <c r="F28" s="24" t="s">
        <v>270</v>
      </c>
    </row>
    <row r="29" spans="2:6" x14ac:dyDescent="0.4">
      <c r="B29" s="76"/>
      <c r="C29" s="44" t="s">
        <v>18</v>
      </c>
      <c r="D29" s="1">
        <v>772</v>
      </c>
      <c r="E29" s="1">
        <v>801</v>
      </c>
      <c r="F29" s="24" t="s">
        <v>271</v>
      </c>
    </row>
    <row r="30" spans="2:6" ht="18.75" customHeight="1" x14ac:dyDescent="0.4">
      <c r="B30" s="76"/>
      <c r="C30" s="37" t="s">
        <v>27</v>
      </c>
      <c r="D30" s="35">
        <v>802</v>
      </c>
      <c r="E30" s="35">
        <v>831</v>
      </c>
      <c r="F30" s="36" t="s">
        <v>272</v>
      </c>
    </row>
    <row r="31" spans="2:6" x14ac:dyDescent="0.4">
      <c r="B31" s="76"/>
      <c r="C31" s="38" t="s">
        <v>28</v>
      </c>
      <c r="D31" s="1">
        <v>832</v>
      </c>
      <c r="E31" s="1">
        <v>861</v>
      </c>
      <c r="F31" s="24" t="s">
        <v>273</v>
      </c>
    </row>
    <row r="32" spans="2:6" x14ac:dyDescent="0.4">
      <c r="B32" s="76"/>
      <c r="C32" s="38" t="s">
        <v>29</v>
      </c>
      <c r="D32" s="1">
        <v>862</v>
      </c>
      <c r="E32" s="1">
        <v>891</v>
      </c>
      <c r="F32" s="24" t="s">
        <v>274</v>
      </c>
    </row>
    <row r="33" spans="2:6" ht="19.5" thickBot="1" x14ac:dyDescent="0.45">
      <c r="B33" s="77"/>
      <c r="C33" s="40" t="s">
        <v>17</v>
      </c>
      <c r="D33" s="26">
        <v>892</v>
      </c>
      <c r="E33" s="26">
        <v>921</v>
      </c>
      <c r="F33" s="27" t="s">
        <v>275</v>
      </c>
    </row>
    <row r="34" spans="2:6" ht="18.75" customHeight="1" x14ac:dyDescent="0.4">
      <c r="B34" s="79" t="s">
        <v>22</v>
      </c>
      <c r="C34" s="41" t="s">
        <v>17</v>
      </c>
      <c r="D34" s="35">
        <v>922</v>
      </c>
      <c r="E34" s="35">
        <v>953</v>
      </c>
      <c r="F34" s="36" t="s">
        <v>250</v>
      </c>
    </row>
    <row r="35" spans="2:6" x14ac:dyDescent="0.4">
      <c r="B35" s="80"/>
      <c r="C35" s="19" t="s">
        <v>18</v>
      </c>
      <c r="D35" s="1">
        <v>954</v>
      </c>
      <c r="E35" s="1">
        <v>985</v>
      </c>
      <c r="F35" s="24" t="s">
        <v>251</v>
      </c>
    </row>
    <row r="36" spans="2:6" x14ac:dyDescent="0.4">
      <c r="B36" s="80"/>
      <c r="C36" s="19" t="s">
        <v>19</v>
      </c>
      <c r="D36" s="1">
        <v>986</v>
      </c>
      <c r="E36" s="1">
        <v>1017</v>
      </c>
      <c r="F36" s="24" t="s">
        <v>252</v>
      </c>
    </row>
    <row r="37" spans="2:6" x14ac:dyDescent="0.4">
      <c r="B37" s="80"/>
      <c r="C37" s="19" t="s">
        <v>20</v>
      </c>
      <c r="D37" s="1">
        <v>1018</v>
      </c>
      <c r="E37" s="1">
        <v>1049</v>
      </c>
      <c r="F37" s="24" t="s">
        <v>253</v>
      </c>
    </row>
    <row r="38" spans="2:6" ht="19.5" thickBot="1" x14ac:dyDescent="0.45">
      <c r="B38" s="81"/>
      <c r="C38" s="25" t="s">
        <v>21</v>
      </c>
      <c r="D38" s="26">
        <v>1050</v>
      </c>
      <c r="E38" s="26">
        <v>1081</v>
      </c>
      <c r="F38" s="27" t="s">
        <v>254</v>
      </c>
    </row>
  </sheetData>
  <autoFilter ref="C3:F38" xr:uid="{6433E5A3-0CFC-431A-8020-8A560940803A}">
    <sortState ref="C4:F38">
      <sortCondition ref="D3:D38"/>
    </sortState>
  </autoFilter>
  <mergeCells count="4">
    <mergeCell ref="B5:B12"/>
    <mergeCell ref="B34:B38"/>
    <mergeCell ref="B13:B24"/>
    <mergeCell ref="B25:B33"/>
  </mergeCells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4F547-9997-48DE-80BE-2D69B5D7A9C9}">
  <sheetPr codeName="Sheet14"/>
  <dimension ref="B1:G38"/>
  <sheetViews>
    <sheetView workbookViewId="0">
      <selection activeCell="E3" sqref="E3"/>
    </sheetView>
  </sheetViews>
  <sheetFormatPr defaultRowHeight="18.75" x14ac:dyDescent="0.4"/>
  <cols>
    <col min="2" max="3" width="19.25" bestFit="1" customWidth="1"/>
    <col min="4" max="4" width="13" bestFit="1" customWidth="1"/>
    <col min="5" max="5" width="17.25" bestFit="1" customWidth="1"/>
    <col min="6" max="6" width="7.125" bestFit="1" customWidth="1"/>
    <col min="7" max="7" width="15.125" bestFit="1" customWidth="1"/>
    <col min="8" max="8" width="26.375" bestFit="1" customWidth="1"/>
    <col min="9" max="9" width="13.625" bestFit="1" customWidth="1"/>
    <col min="10" max="12" width="13" bestFit="1" customWidth="1"/>
  </cols>
  <sheetData>
    <row r="1" spans="2:7" x14ac:dyDescent="0.4">
      <c r="C1" t="s">
        <v>776</v>
      </c>
      <c r="E1" t="s">
        <v>778</v>
      </c>
      <c r="G1" t="s">
        <v>775</v>
      </c>
    </row>
    <row r="2" spans="2:7" x14ac:dyDescent="0.4">
      <c r="B2" s="62" t="s">
        <v>774</v>
      </c>
      <c r="C2" s="62" t="str">
        <f>(集計!G22)</f>
        <v>カトデン明細書</v>
      </c>
      <c r="D2" s="62" t="s">
        <v>777</v>
      </c>
      <c r="E2" s="62" t="str">
        <f>(集計!H22)</f>
        <v>201604～</v>
      </c>
      <c r="F2" s="62" t="s">
        <v>773</v>
      </c>
      <c r="G2" s="63" t="str">
        <f>TEXT(集計!D2,"yyyy年mm月")</f>
        <v>2017年09月</v>
      </c>
    </row>
    <row r="3" spans="2:7" x14ac:dyDescent="0.4">
      <c r="C3" s="1" t="s">
        <v>0</v>
      </c>
      <c r="D3" s="1" t="s">
        <v>1</v>
      </c>
      <c r="E3" s="1" t="s">
        <v>2</v>
      </c>
      <c r="F3" s="1" t="s">
        <v>32</v>
      </c>
    </row>
    <row r="4" spans="2:7" ht="19.5" thickBot="1" x14ac:dyDescent="0.45">
      <c r="C4" s="15" t="s">
        <v>3</v>
      </c>
      <c r="D4" s="15">
        <v>5</v>
      </c>
      <c r="E4" s="15">
        <v>35</v>
      </c>
      <c r="F4" s="15" t="s">
        <v>276</v>
      </c>
    </row>
    <row r="5" spans="2:7" x14ac:dyDescent="0.4">
      <c r="B5" s="79" t="s">
        <v>16</v>
      </c>
      <c r="C5" s="29" t="s">
        <v>6</v>
      </c>
      <c r="D5" s="22">
        <v>36</v>
      </c>
      <c r="E5" s="22">
        <v>67</v>
      </c>
      <c r="F5" s="23" t="s">
        <v>279</v>
      </c>
    </row>
    <row r="6" spans="2:7" x14ac:dyDescent="0.4">
      <c r="B6" s="80"/>
      <c r="C6" s="18" t="s">
        <v>7</v>
      </c>
      <c r="D6" s="1">
        <v>68</v>
      </c>
      <c r="E6" s="1">
        <v>99</v>
      </c>
      <c r="F6" s="24" t="s">
        <v>280</v>
      </c>
    </row>
    <row r="7" spans="2:7" x14ac:dyDescent="0.4">
      <c r="B7" s="80"/>
      <c r="C7" s="18" t="s">
        <v>8</v>
      </c>
      <c r="D7" s="1">
        <v>100</v>
      </c>
      <c r="E7" s="1">
        <v>131</v>
      </c>
      <c r="F7" s="24" t="s">
        <v>281</v>
      </c>
    </row>
    <row r="8" spans="2:7" x14ac:dyDescent="0.4">
      <c r="B8" s="80"/>
      <c r="C8" s="18" t="s">
        <v>9</v>
      </c>
      <c r="D8" s="1">
        <v>132</v>
      </c>
      <c r="E8" s="1">
        <v>163</v>
      </c>
      <c r="F8" s="24" t="s">
        <v>282</v>
      </c>
    </row>
    <row r="9" spans="2:7" x14ac:dyDescent="0.4">
      <c r="B9" s="80"/>
      <c r="C9" s="18" t="s">
        <v>14</v>
      </c>
      <c r="D9" s="1">
        <v>164</v>
      </c>
      <c r="E9" s="1">
        <v>195</v>
      </c>
      <c r="F9" s="24" t="s">
        <v>283</v>
      </c>
    </row>
    <row r="10" spans="2:7" x14ac:dyDescent="0.4">
      <c r="B10" s="80"/>
      <c r="C10" s="18" t="s">
        <v>15</v>
      </c>
      <c r="D10" s="1">
        <v>196</v>
      </c>
      <c r="E10" s="1">
        <v>227</v>
      </c>
      <c r="F10" s="24" t="s">
        <v>284</v>
      </c>
    </row>
    <row r="11" spans="2:7" x14ac:dyDescent="0.4">
      <c r="B11" s="80"/>
      <c r="C11" s="18" t="s">
        <v>4</v>
      </c>
      <c r="D11" s="1">
        <v>228</v>
      </c>
      <c r="E11" s="1">
        <v>259</v>
      </c>
      <c r="F11" s="24" t="s">
        <v>277</v>
      </c>
    </row>
    <row r="12" spans="2:7" ht="19.5" thickBot="1" x14ac:dyDescent="0.45">
      <c r="B12" s="81"/>
      <c r="C12" s="30" t="s">
        <v>5</v>
      </c>
      <c r="D12" s="26">
        <v>260</v>
      </c>
      <c r="E12" s="26">
        <v>291</v>
      </c>
      <c r="F12" s="27" t="s">
        <v>278</v>
      </c>
    </row>
    <row r="13" spans="2:7" x14ac:dyDescent="0.4">
      <c r="B13" s="75" t="s">
        <v>23</v>
      </c>
      <c r="C13" s="45" t="s">
        <v>24</v>
      </c>
      <c r="D13" s="22">
        <v>292</v>
      </c>
      <c r="E13" s="22">
        <v>321</v>
      </c>
      <c r="F13" s="23" t="s">
        <v>290</v>
      </c>
    </row>
    <row r="14" spans="2:7" x14ac:dyDescent="0.4">
      <c r="B14" s="76"/>
      <c r="C14" s="43" t="s">
        <v>25</v>
      </c>
      <c r="D14" s="1">
        <v>322</v>
      </c>
      <c r="E14" s="1">
        <v>351</v>
      </c>
      <c r="F14" s="24" t="s">
        <v>291</v>
      </c>
    </row>
    <row r="15" spans="2:7" x14ac:dyDescent="0.4">
      <c r="B15" s="76"/>
      <c r="C15" s="43" t="s">
        <v>26</v>
      </c>
      <c r="D15" s="1">
        <v>352</v>
      </c>
      <c r="E15" s="1">
        <v>381</v>
      </c>
      <c r="F15" s="24" t="s">
        <v>292</v>
      </c>
    </row>
    <row r="16" spans="2:7" x14ac:dyDescent="0.4">
      <c r="B16" s="76"/>
      <c r="C16" s="43" t="s">
        <v>19</v>
      </c>
      <c r="D16" s="1">
        <v>382</v>
      </c>
      <c r="E16" s="1">
        <v>411</v>
      </c>
      <c r="F16" s="24" t="s">
        <v>293</v>
      </c>
    </row>
    <row r="17" spans="2:6" x14ac:dyDescent="0.4">
      <c r="B17" s="76"/>
      <c r="C17" s="43" t="s">
        <v>18</v>
      </c>
      <c r="D17" s="1">
        <v>412</v>
      </c>
      <c r="E17" s="1">
        <v>441</v>
      </c>
      <c r="F17" s="24" t="s">
        <v>294</v>
      </c>
    </row>
    <row r="18" spans="2:6" ht="18.75" customHeight="1" x14ac:dyDescent="0.4">
      <c r="B18" s="76"/>
      <c r="C18" s="46" t="s">
        <v>27</v>
      </c>
      <c r="D18" s="35">
        <v>442</v>
      </c>
      <c r="E18" s="35">
        <v>471</v>
      </c>
      <c r="F18" s="36" t="s">
        <v>295</v>
      </c>
    </row>
    <row r="19" spans="2:6" x14ac:dyDescent="0.4">
      <c r="B19" s="76"/>
      <c r="C19" s="43" t="s">
        <v>28</v>
      </c>
      <c r="D19" s="1">
        <v>472</v>
      </c>
      <c r="E19" s="1">
        <v>501</v>
      </c>
      <c r="F19" s="24" t="s">
        <v>296</v>
      </c>
    </row>
    <row r="20" spans="2:6" x14ac:dyDescent="0.4">
      <c r="B20" s="76"/>
      <c r="C20" s="43" t="s">
        <v>29</v>
      </c>
      <c r="D20" s="1">
        <v>502</v>
      </c>
      <c r="E20" s="1">
        <v>531</v>
      </c>
      <c r="F20" s="24" t="s">
        <v>297</v>
      </c>
    </row>
    <row r="21" spans="2:6" x14ac:dyDescent="0.4">
      <c r="B21" s="76"/>
      <c r="C21" s="43" t="s">
        <v>17</v>
      </c>
      <c r="D21" s="1">
        <v>532</v>
      </c>
      <c r="E21" s="1">
        <v>561</v>
      </c>
      <c r="F21" s="24" t="s">
        <v>298</v>
      </c>
    </row>
    <row r="22" spans="2:6" x14ac:dyDescent="0.4">
      <c r="B22" s="76"/>
      <c r="C22" s="43" t="s">
        <v>20</v>
      </c>
      <c r="D22" s="1">
        <v>562</v>
      </c>
      <c r="E22" s="1">
        <v>591</v>
      </c>
      <c r="F22" s="24" t="s">
        <v>299</v>
      </c>
    </row>
    <row r="23" spans="2:6" x14ac:dyDescent="0.4">
      <c r="B23" s="76"/>
      <c r="C23" s="43" t="s">
        <v>21</v>
      </c>
      <c r="D23" s="1">
        <v>592</v>
      </c>
      <c r="E23" s="1">
        <v>621</v>
      </c>
      <c r="F23" s="24" t="s">
        <v>300</v>
      </c>
    </row>
    <row r="24" spans="2:6" ht="19.5" thickBot="1" x14ac:dyDescent="0.45">
      <c r="B24" s="77"/>
      <c r="C24" s="40" t="s">
        <v>30</v>
      </c>
      <c r="D24" s="26">
        <v>622</v>
      </c>
      <c r="E24" s="26">
        <v>651</v>
      </c>
      <c r="F24" s="27" t="s">
        <v>301</v>
      </c>
    </row>
    <row r="25" spans="2:6" x14ac:dyDescent="0.4">
      <c r="B25" s="75" t="s">
        <v>31</v>
      </c>
      <c r="C25" s="42" t="s">
        <v>24</v>
      </c>
      <c r="D25" s="22">
        <v>652</v>
      </c>
      <c r="E25" s="22">
        <v>681</v>
      </c>
      <c r="F25" s="23" t="s">
        <v>302</v>
      </c>
    </row>
    <row r="26" spans="2:6" x14ac:dyDescent="0.4">
      <c r="B26" s="76"/>
      <c r="C26" s="38" t="s">
        <v>25</v>
      </c>
      <c r="D26" s="1">
        <v>682</v>
      </c>
      <c r="E26" s="1">
        <v>711</v>
      </c>
      <c r="F26" s="24" t="s">
        <v>303</v>
      </c>
    </row>
    <row r="27" spans="2:6" x14ac:dyDescent="0.4">
      <c r="B27" s="76"/>
      <c r="C27" s="38" t="s">
        <v>26</v>
      </c>
      <c r="D27" s="1">
        <v>712</v>
      </c>
      <c r="E27" s="1">
        <v>741</v>
      </c>
      <c r="F27" s="24" t="s">
        <v>304</v>
      </c>
    </row>
    <row r="28" spans="2:6" x14ac:dyDescent="0.4">
      <c r="B28" s="76"/>
      <c r="C28" s="43" t="s">
        <v>19</v>
      </c>
      <c r="D28" s="1">
        <v>742</v>
      </c>
      <c r="E28" s="1">
        <v>771</v>
      </c>
      <c r="F28" s="24" t="s">
        <v>305</v>
      </c>
    </row>
    <row r="29" spans="2:6" x14ac:dyDescent="0.4">
      <c r="B29" s="76"/>
      <c r="C29" s="44" t="s">
        <v>18</v>
      </c>
      <c r="D29" s="1">
        <v>772</v>
      </c>
      <c r="E29" s="1">
        <v>801</v>
      </c>
      <c r="F29" s="24" t="s">
        <v>306</v>
      </c>
    </row>
    <row r="30" spans="2:6" ht="18.75" customHeight="1" x14ac:dyDescent="0.4">
      <c r="B30" s="76"/>
      <c r="C30" s="37" t="s">
        <v>27</v>
      </c>
      <c r="D30" s="35">
        <v>802</v>
      </c>
      <c r="E30" s="35">
        <v>831</v>
      </c>
      <c r="F30" s="36" t="s">
        <v>307</v>
      </c>
    </row>
    <row r="31" spans="2:6" x14ac:dyDescent="0.4">
      <c r="B31" s="76"/>
      <c r="C31" s="38" t="s">
        <v>28</v>
      </c>
      <c r="D31" s="1">
        <v>832</v>
      </c>
      <c r="E31" s="1">
        <v>861</v>
      </c>
      <c r="F31" s="24" t="s">
        <v>308</v>
      </c>
    </row>
    <row r="32" spans="2:6" x14ac:dyDescent="0.4">
      <c r="B32" s="76"/>
      <c r="C32" s="38" t="s">
        <v>29</v>
      </c>
      <c r="D32" s="1">
        <v>862</v>
      </c>
      <c r="E32" s="1">
        <v>891</v>
      </c>
      <c r="F32" s="24" t="s">
        <v>309</v>
      </c>
    </row>
    <row r="33" spans="2:6" ht="19.5" thickBot="1" x14ac:dyDescent="0.45">
      <c r="B33" s="77"/>
      <c r="C33" s="40" t="s">
        <v>17</v>
      </c>
      <c r="D33" s="26">
        <v>892</v>
      </c>
      <c r="E33" s="26">
        <v>921</v>
      </c>
      <c r="F33" s="27" t="s">
        <v>310</v>
      </c>
    </row>
    <row r="34" spans="2:6" x14ac:dyDescent="0.4">
      <c r="B34" s="79" t="s">
        <v>22</v>
      </c>
      <c r="C34" s="41" t="s">
        <v>17</v>
      </c>
      <c r="D34" s="35">
        <v>922</v>
      </c>
      <c r="E34" s="35">
        <v>953</v>
      </c>
      <c r="F34" s="36" t="s">
        <v>285</v>
      </c>
    </row>
    <row r="35" spans="2:6" x14ac:dyDescent="0.4">
      <c r="B35" s="80"/>
      <c r="C35" s="19" t="s">
        <v>18</v>
      </c>
      <c r="D35" s="1">
        <v>954</v>
      </c>
      <c r="E35" s="1">
        <v>985</v>
      </c>
      <c r="F35" s="24" t="s">
        <v>286</v>
      </c>
    </row>
    <row r="36" spans="2:6" x14ac:dyDescent="0.4">
      <c r="B36" s="80"/>
      <c r="C36" s="19" t="s">
        <v>19</v>
      </c>
      <c r="D36" s="1">
        <v>986</v>
      </c>
      <c r="E36" s="1">
        <v>1017</v>
      </c>
      <c r="F36" s="24" t="s">
        <v>287</v>
      </c>
    </row>
    <row r="37" spans="2:6" x14ac:dyDescent="0.4">
      <c r="B37" s="80"/>
      <c r="C37" s="19" t="s">
        <v>20</v>
      </c>
      <c r="D37" s="1">
        <v>1018</v>
      </c>
      <c r="E37" s="1">
        <v>1049</v>
      </c>
      <c r="F37" s="24" t="s">
        <v>288</v>
      </c>
    </row>
    <row r="38" spans="2:6" ht="19.5" thickBot="1" x14ac:dyDescent="0.45">
      <c r="B38" s="81"/>
      <c r="C38" s="25" t="s">
        <v>21</v>
      </c>
      <c r="D38" s="26">
        <v>1050</v>
      </c>
      <c r="E38" s="26">
        <v>1081</v>
      </c>
      <c r="F38" s="27" t="s">
        <v>289</v>
      </c>
    </row>
  </sheetData>
  <autoFilter ref="C3:F38" xr:uid="{DB2672D8-A449-4352-8586-04F5D70B7225}">
    <sortState ref="C4:F38">
      <sortCondition ref="D3:D38"/>
    </sortState>
  </autoFilter>
  <mergeCells count="4">
    <mergeCell ref="B5:B12"/>
    <mergeCell ref="B34:B38"/>
    <mergeCell ref="B13:B24"/>
    <mergeCell ref="B25:B33"/>
  </mergeCells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F0CF8-EE25-4CE2-B627-52E71B452B05}">
  <sheetPr codeName="Sheet15"/>
  <dimension ref="B1:G42"/>
  <sheetViews>
    <sheetView workbookViewId="0">
      <selection activeCell="E2" sqref="E2"/>
    </sheetView>
  </sheetViews>
  <sheetFormatPr defaultRowHeight="18.75" x14ac:dyDescent="0.4"/>
  <cols>
    <col min="2" max="3" width="19.25" bestFit="1" customWidth="1"/>
    <col min="4" max="4" width="13" bestFit="1" customWidth="1"/>
    <col min="5" max="5" width="17.25" bestFit="1" customWidth="1"/>
    <col min="6" max="6" width="7.125" bestFit="1" customWidth="1"/>
    <col min="7" max="7" width="15.125" bestFit="1" customWidth="1"/>
  </cols>
  <sheetData>
    <row r="1" spans="2:7" x14ac:dyDescent="0.4">
      <c r="C1" t="s">
        <v>776</v>
      </c>
      <c r="E1" t="s">
        <v>778</v>
      </c>
      <c r="G1" t="s">
        <v>775</v>
      </c>
    </row>
    <row r="2" spans="2:7" x14ac:dyDescent="0.4">
      <c r="B2" s="62" t="s">
        <v>774</v>
      </c>
      <c r="C2" s="62" t="str">
        <f>(集計!G23)</f>
        <v>yanya_yanya明細書</v>
      </c>
      <c r="D2" s="62" t="s">
        <v>777</v>
      </c>
      <c r="E2" s="62" t="str">
        <f>(集計!H23)</f>
        <v>201604～</v>
      </c>
      <c r="F2" s="62" t="s">
        <v>773</v>
      </c>
      <c r="G2" s="63" t="str">
        <f>TEXT(集計!D2,"yyyy年mm月")</f>
        <v>2017年09月</v>
      </c>
    </row>
    <row r="3" spans="2:7" x14ac:dyDescent="0.4">
      <c r="C3" s="1" t="s">
        <v>0</v>
      </c>
      <c r="D3" s="1" t="s">
        <v>1</v>
      </c>
      <c r="E3" s="1" t="s">
        <v>2</v>
      </c>
      <c r="F3" s="1" t="s">
        <v>32</v>
      </c>
    </row>
    <row r="4" spans="2:7" ht="19.5" thickBot="1" x14ac:dyDescent="0.45">
      <c r="C4" s="15" t="s">
        <v>3</v>
      </c>
      <c r="D4" s="15">
        <v>5</v>
      </c>
      <c r="E4" s="15">
        <v>35</v>
      </c>
      <c r="F4" s="15" t="s">
        <v>311</v>
      </c>
    </row>
    <row r="5" spans="2:7" x14ac:dyDescent="0.4">
      <c r="B5" s="79" t="s">
        <v>16</v>
      </c>
      <c r="C5" s="29" t="s">
        <v>138</v>
      </c>
      <c r="D5" s="1">
        <v>36</v>
      </c>
      <c r="E5" s="1">
        <v>67</v>
      </c>
      <c r="F5" s="23" t="s">
        <v>314</v>
      </c>
    </row>
    <row r="6" spans="2:7" x14ac:dyDescent="0.4">
      <c r="B6" s="80"/>
      <c r="C6" s="18" t="s">
        <v>139</v>
      </c>
      <c r="D6" s="1">
        <v>68</v>
      </c>
      <c r="E6" s="1">
        <v>99</v>
      </c>
      <c r="F6" s="24" t="s">
        <v>315</v>
      </c>
    </row>
    <row r="7" spans="2:7" x14ac:dyDescent="0.4">
      <c r="B7" s="80"/>
      <c r="C7" s="18" t="s">
        <v>140</v>
      </c>
      <c r="D7" s="1">
        <v>100</v>
      </c>
      <c r="E7" s="1">
        <v>131</v>
      </c>
      <c r="F7" s="57" t="s">
        <v>316</v>
      </c>
    </row>
    <row r="8" spans="2:7" x14ac:dyDescent="0.4">
      <c r="B8" s="80"/>
      <c r="C8" s="18" t="s">
        <v>141</v>
      </c>
      <c r="D8" s="1">
        <v>132</v>
      </c>
      <c r="E8" s="1">
        <v>163</v>
      </c>
      <c r="F8" s="24" t="s">
        <v>317</v>
      </c>
    </row>
    <row r="9" spans="2:7" x14ac:dyDescent="0.4">
      <c r="B9" s="80"/>
      <c r="C9" s="18" t="s">
        <v>6</v>
      </c>
      <c r="D9" s="1">
        <v>164</v>
      </c>
      <c r="E9" s="1">
        <v>195</v>
      </c>
      <c r="F9" s="58" t="s">
        <v>318</v>
      </c>
    </row>
    <row r="10" spans="2:7" x14ac:dyDescent="0.4">
      <c r="B10" s="80"/>
      <c r="C10" s="18" t="s">
        <v>7</v>
      </c>
      <c r="D10" s="1">
        <v>196</v>
      </c>
      <c r="E10" s="1">
        <v>227</v>
      </c>
      <c r="F10" s="24" t="s">
        <v>319</v>
      </c>
    </row>
    <row r="11" spans="2:7" x14ac:dyDescent="0.4">
      <c r="B11" s="80"/>
      <c r="C11" s="18" t="s">
        <v>8</v>
      </c>
      <c r="D11" s="1">
        <v>228</v>
      </c>
      <c r="E11" s="1">
        <v>259</v>
      </c>
      <c r="F11" s="24" t="s">
        <v>320</v>
      </c>
    </row>
    <row r="12" spans="2:7" x14ac:dyDescent="0.4">
      <c r="B12" s="80"/>
      <c r="C12" s="38" t="s">
        <v>9</v>
      </c>
      <c r="D12" s="1">
        <v>260</v>
      </c>
      <c r="E12" s="1">
        <v>291</v>
      </c>
      <c r="F12" s="24" t="s">
        <v>321</v>
      </c>
    </row>
    <row r="13" spans="2:7" x14ac:dyDescent="0.4">
      <c r="B13" s="80"/>
      <c r="C13" s="39" t="s">
        <v>14</v>
      </c>
      <c r="D13" s="35">
        <v>292</v>
      </c>
      <c r="E13" s="35">
        <v>323</v>
      </c>
      <c r="F13" s="24" t="s">
        <v>322</v>
      </c>
    </row>
    <row r="14" spans="2:7" x14ac:dyDescent="0.4">
      <c r="B14" s="80"/>
      <c r="C14" s="38" t="s">
        <v>15</v>
      </c>
      <c r="D14" s="1">
        <v>324</v>
      </c>
      <c r="E14" s="1">
        <v>355</v>
      </c>
      <c r="F14" s="24" t="s">
        <v>323</v>
      </c>
    </row>
    <row r="15" spans="2:7" x14ac:dyDescent="0.4">
      <c r="B15" s="80"/>
      <c r="C15" s="39" t="s">
        <v>4</v>
      </c>
      <c r="D15" s="35">
        <v>356</v>
      </c>
      <c r="E15" s="35">
        <v>387</v>
      </c>
      <c r="F15" s="24" t="s">
        <v>312</v>
      </c>
    </row>
    <row r="16" spans="2:7" ht="19.5" thickBot="1" x14ac:dyDescent="0.45">
      <c r="B16" s="81"/>
      <c r="C16" s="30" t="s">
        <v>5</v>
      </c>
      <c r="D16" s="1">
        <v>388</v>
      </c>
      <c r="E16" s="1">
        <v>419</v>
      </c>
      <c r="F16" s="27" t="s">
        <v>313</v>
      </c>
    </row>
    <row r="17" spans="2:6" x14ac:dyDescent="0.4">
      <c r="B17" s="75" t="s">
        <v>23</v>
      </c>
      <c r="C17" s="45" t="s">
        <v>24</v>
      </c>
      <c r="D17" s="22">
        <v>420</v>
      </c>
      <c r="E17" s="22">
        <v>449</v>
      </c>
      <c r="F17" s="23" t="s">
        <v>329</v>
      </c>
    </row>
    <row r="18" spans="2:6" x14ac:dyDescent="0.4">
      <c r="B18" s="76"/>
      <c r="C18" s="43" t="s">
        <v>25</v>
      </c>
      <c r="D18" s="1">
        <v>450</v>
      </c>
      <c r="E18" s="1">
        <v>479</v>
      </c>
      <c r="F18" s="24" t="s">
        <v>330</v>
      </c>
    </row>
    <row r="19" spans="2:6" x14ac:dyDescent="0.4">
      <c r="B19" s="76"/>
      <c r="C19" s="43" t="s">
        <v>26</v>
      </c>
      <c r="D19" s="1">
        <v>480</v>
      </c>
      <c r="E19" s="1">
        <v>509</v>
      </c>
      <c r="F19" s="24" t="s">
        <v>331</v>
      </c>
    </row>
    <row r="20" spans="2:6" x14ac:dyDescent="0.4">
      <c r="B20" s="76"/>
      <c r="C20" s="43" t="s">
        <v>19</v>
      </c>
      <c r="D20" s="1">
        <v>510</v>
      </c>
      <c r="E20" s="1">
        <v>539</v>
      </c>
      <c r="F20" s="24" t="s">
        <v>332</v>
      </c>
    </row>
    <row r="21" spans="2:6" x14ac:dyDescent="0.4">
      <c r="B21" s="76"/>
      <c r="C21" s="43" t="s">
        <v>18</v>
      </c>
      <c r="D21" s="1">
        <v>540</v>
      </c>
      <c r="E21" s="1">
        <v>569</v>
      </c>
      <c r="F21" s="24" t="s">
        <v>333</v>
      </c>
    </row>
    <row r="22" spans="2:6" ht="18.75" customHeight="1" x14ac:dyDescent="0.4">
      <c r="B22" s="76"/>
      <c r="C22" s="46" t="s">
        <v>27</v>
      </c>
      <c r="D22" s="35">
        <v>570</v>
      </c>
      <c r="E22" s="35">
        <v>599</v>
      </c>
      <c r="F22" s="36" t="s">
        <v>334</v>
      </c>
    </row>
    <row r="23" spans="2:6" x14ac:dyDescent="0.4">
      <c r="B23" s="76"/>
      <c r="C23" s="43" t="s">
        <v>28</v>
      </c>
      <c r="D23" s="1">
        <v>600</v>
      </c>
      <c r="E23" s="1">
        <v>629</v>
      </c>
      <c r="F23" s="24" t="s">
        <v>335</v>
      </c>
    </row>
    <row r="24" spans="2:6" x14ac:dyDescent="0.4">
      <c r="B24" s="76"/>
      <c r="C24" s="43" t="s">
        <v>29</v>
      </c>
      <c r="D24" s="1">
        <v>630</v>
      </c>
      <c r="E24" s="1">
        <v>659</v>
      </c>
      <c r="F24" s="24" t="s">
        <v>336</v>
      </c>
    </row>
    <row r="25" spans="2:6" x14ac:dyDescent="0.4">
      <c r="B25" s="76"/>
      <c r="C25" s="43" t="s">
        <v>17</v>
      </c>
      <c r="D25" s="1">
        <v>660</v>
      </c>
      <c r="E25" s="1">
        <v>689</v>
      </c>
      <c r="F25" s="24" t="s">
        <v>337</v>
      </c>
    </row>
    <row r="26" spans="2:6" x14ac:dyDescent="0.4">
      <c r="B26" s="76"/>
      <c r="C26" s="43" t="s">
        <v>20</v>
      </c>
      <c r="D26" s="1">
        <v>690</v>
      </c>
      <c r="E26" s="1">
        <v>719</v>
      </c>
      <c r="F26" s="24" t="s">
        <v>338</v>
      </c>
    </row>
    <row r="27" spans="2:6" x14ac:dyDescent="0.4">
      <c r="B27" s="76"/>
      <c r="C27" s="43" t="s">
        <v>21</v>
      </c>
      <c r="D27" s="1">
        <v>720</v>
      </c>
      <c r="E27" s="1">
        <v>749</v>
      </c>
      <c r="F27" s="24" t="s">
        <v>339</v>
      </c>
    </row>
    <row r="28" spans="2:6" ht="19.5" thickBot="1" x14ac:dyDescent="0.45">
      <c r="B28" s="77"/>
      <c r="C28" s="40" t="s">
        <v>30</v>
      </c>
      <c r="D28" s="26">
        <v>750</v>
      </c>
      <c r="E28" s="26">
        <v>779</v>
      </c>
      <c r="F28" s="27" t="s">
        <v>340</v>
      </c>
    </row>
    <row r="29" spans="2:6" x14ac:dyDescent="0.4">
      <c r="B29" s="75" t="s">
        <v>31</v>
      </c>
      <c r="C29" s="42" t="s">
        <v>24</v>
      </c>
      <c r="D29" s="22">
        <v>780</v>
      </c>
      <c r="E29" s="22">
        <v>809</v>
      </c>
      <c r="F29" s="23" t="s">
        <v>341</v>
      </c>
    </row>
    <row r="30" spans="2:6" x14ac:dyDescent="0.4">
      <c r="B30" s="76"/>
      <c r="C30" s="38" t="s">
        <v>25</v>
      </c>
      <c r="D30" s="1">
        <v>810</v>
      </c>
      <c r="E30" s="1">
        <v>839</v>
      </c>
      <c r="F30" s="24" t="s">
        <v>342</v>
      </c>
    </row>
    <row r="31" spans="2:6" x14ac:dyDescent="0.4">
      <c r="B31" s="76"/>
      <c r="C31" s="38" t="s">
        <v>26</v>
      </c>
      <c r="D31" s="1">
        <v>840</v>
      </c>
      <c r="E31" s="1">
        <v>869</v>
      </c>
      <c r="F31" s="24" t="s">
        <v>343</v>
      </c>
    </row>
    <row r="32" spans="2:6" x14ac:dyDescent="0.4">
      <c r="B32" s="76"/>
      <c r="C32" s="43" t="s">
        <v>19</v>
      </c>
      <c r="D32" s="1">
        <v>870</v>
      </c>
      <c r="E32" s="1">
        <v>899</v>
      </c>
      <c r="F32" s="24" t="s">
        <v>344</v>
      </c>
    </row>
    <row r="33" spans="2:6" x14ac:dyDescent="0.4">
      <c r="B33" s="76"/>
      <c r="C33" s="44" t="s">
        <v>18</v>
      </c>
      <c r="D33" s="1">
        <v>900</v>
      </c>
      <c r="E33" s="1">
        <v>929</v>
      </c>
      <c r="F33" s="24" t="s">
        <v>345</v>
      </c>
    </row>
    <row r="34" spans="2:6" ht="18.75" customHeight="1" x14ac:dyDescent="0.4">
      <c r="B34" s="76"/>
      <c r="C34" s="37" t="s">
        <v>27</v>
      </c>
      <c r="D34" s="35">
        <v>930</v>
      </c>
      <c r="E34" s="35">
        <v>959</v>
      </c>
      <c r="F34" s="36" t="s">
        <v>346</v>
      </c>
    </row>
    <row r="35" spans="2:6" x14ac:dyDescent="0.4">
      <c r="B35" s="76"/>
      <c r="C35" s="38" t="s">
        <v>28</v>
      </c>
      <c r="D35" s="1">
        <v>960</v>
      </c>
      <c r="E35" s="1">
        <v>989</v>
      </c>
      <c r="F35" s="24" t="s">
        <v>347</v>
      </c>
    </row>
    <row r="36" spans="2:6" x14ac:dyDescent="0.4">
      <c r="B36" s="76"/>
      <c r="C36" s="38" t="s">
        <v>29</v>
      </c>
      <c r="D36" s="1">
        <v>990</v>
      </c>
      <c r="E36" s="1">
        <v>1019</v>
      </c>
      <c r="F36" s="24" t="s">
        <v>348</v>
      </c>
    </row>
    <row r="37" spans="2:6" ht="19.5" thickBot="1" x14ac:dyDescent="0.45">
      <c r="B37" s="77"/>
      <c r="C37" s="40" t="s">
        <v>142</v>
      </c>
      <c r="D37" s="26">
        <v>1020</v>
      </c>
      <c r="E37" s="26">
        <v>1049</v>
      </c>
      <c r="F37" s="27" t="s">
        <v>349</v>
      </c>
    </row>
    <row r="38" spans="2:6" x14ac:dyDescent="0.4">
      <c r="B38" s="79" t="s">
        <v>22</v>
      </c>
      <c r="C38" s="45" t="s">
        <v>17</v>
      </c>
      <c r="D38" s="22">
        <v>1050</v>
      </c>
      <c r="E38" s="22">
        <v>1081</v>
      </c>
      <c r="F38" s="23" t="s">
        <v>324</v>
      </c>
    </row>
    <row r="39" spans="2:6" x14ac:dyDescent="0.4">
      <c r="B39" s="80"/>
      <c r="C39" s="43" t="s">
        <v>18</v>
      </c>
      <c r="D39" s="1">
        <v>1082</v>
      </c>
      <c r="E39" s="1">
        <v>1113</v>
      </c>
      <c r="F39" s="24" t="s">
        <v>325</v>
      </c>
    </row>
    <row r="40" spans="2:6" x14ac:dyDescent="0.4">
      <c r="B40" s="80"/>
      <c r="C40" s="43" t="s">
        <v>19</v>
      </c>
      <c r="D40" s="1">
        <v>1114</v>
      </c>
      <c r="E40" s="1">
        <v>1145</v>
      </c>
      <c r="F40" s="24" t="s">
        <v>326</v>
      </c>
    </row>
    <row r="41" spans="2:6" x14ac:dyDescent="0.4">
      <c r="B41" s="80"/>
      <c r="C41" s="43" t="s">
        <v>20</v>
      </c>
      <c r="D41" s="1">
        <v>1146</v>
      </c>
      <c r="E41" s="1">
        <v>1177</v>
      </c>
      <c r="F41" s="24" t="s">
        <v>327</v>
      </c>
    </row>
    <row r="42" spans="2:6" ht="19.5" thickBot="1" x14ac:dyDescent="0.45">
      <c r="B42" s="81"/>
      <c r="C42" s="40" t="s">
        <v>21</v>
      </c>
      <c r="D42" s="26">
        <v>1178</v>
      </c>
      <c r="E42" s="26">
        <v>1209</v>
      </c>
      <c r="F42" s="27" t="s">
        <v>328</v>
      </c>
    </row>
  </sheetData>
  <autoFilter ref="C3:F42" xr:uid="{5FA4CD53-1F7B-4754-A4A4-519A6F203807}">
    <sortState ref="C4:F42">
      <sortCondition ref="D3:D42"/>
    </sortState>
  </autoFilter>
  <mergeCells count="4">
    <mergeCell ref="B5:B16"/>
    <mergeCell ref="B38:B42"/>
    <mergeCell ref="B17:B28"/>
    <mergeCell ref="B29:B37"/>
  </mergeCells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6CE78-9467-4A4F-8967-20C6B8997417}">
  <sheetPr codeName="Sheet16"/>
  <dimension ref="B1:G42"/>
  <sheetViews>
    <sheetView workbookViewId="0">
      <selection activeCell="E3" sqref="E3"/>
    </sheetView>
  </sheetViews>
  <sheetFormatPr defaultRowHeight="18.75" x14ac:dyDescent="0.4"/>
  <cols>
    <col min="2" max="2" width="19.25" bestFit="1" customWidth="1"/>
    <col min="3" max="3" width="24.375" customWidth="1"/>
    <col min="4" max="4" width="13" bestFit="1" customWidth="1"/>
    <col min="5" max="5" width="17.25" bestFit="1" customWidth="1"/>
    <col min="6" max="6" width="7.125" bestFit="1" customWidth="1"/>
    <col min="7" max="7" width="15.125" bestFit="1" customWidth="1"/>
  </cols>
  <sheetData>
    <row r="1" spans="2:7" x14ac:dyDescent="0.4">
      <c r="C1" t="s">
        <v>776</v>
      </c>
      <c r="E1" t="s">
        <v>778</v>
      </c>
      <c r="G1" t="s">
        <v>775</v>
      </c>
    </row>
    <row r="2" spans="2:7" x14ac:dyDescent="0.4">
      <c r="B2" s="62" t="s">
        <v>774</v>
      </c>
      <c r="C2" s="62" t="str">
        <f>(集計!G24)</f>
        <v>SMbrand_HOTEL LOVERS明細書</v>
      </c>
      <c r="D2" s="62" t="s">
        <v>777</v>
      </c>
      <c r="E2" s="62" t="str">
        <f>(集計!H24)</f>
        <v>ＧＦ(ジーエフ)201703~</v>
      </c>
      <c r="F2" s="62" t="s">
        <v>773</v>
      </c>
      <c r="G2" s="63" t="str">
        <f>TEXT(集計!D2,"yyyy年mm月")</f>
        <v>2017年09月</v>
      </c>
    </row>
    <row r="3" spans="2:7" x14ac:dyDescent="0.4">
      <c r="C3" s="1" t="s">
        <v>0</v>
      </c>
      <c r="D3" s="1" t="s">
        <v>1</v>
      </c>
      <c r="E3" s="1" t="s">
        <v>2</v>
      </c>
      <c r="F3" s="1" t="s">
        <v>32</v>
      </c>
    </row>
    <row r="4" spans="2:7" ht="19.5" thickBot="1" x14ac:dyDescent="0.45">
      <c r="C4" s="15" t="s">
        <v>3</v>
      </c>
      <c r="D4" s="15">
        <v>5</v>
      </c>
      <c r="E4" s="15">
        <v>35</v>
      </c>
      <c r="F4" s="15" t="s">
        <v>350</v>
      </c>
    </row>
    <row r="5" spans="2:7" x14ac:dyDescent="0.4">
      <c r="B5" s="79" t="s">
        <v>16</v>
      </c>
      <c r="C5" s="29" t="s">
        <v>138</v>
      </c>
      <c r="D5" s="1">
        <v>36</v>
      </c>
      <c r="E5" s="1">
        <v>67</v>
      </c>
      <c r="F5" s="23" t="s">
        <v>353</v>
      </c>
    </row>
    <row r="6" spans="2:7" x14ac:dyDescent="0.4">
      <c r="B6" s="80"/>
      <c r="C6" s="18" t="s">
        <v>139</v>
      </c>
      <c r="D6" s="1">
        <v>68</v>
      </c>
      <c r="E6" s="1">
        <v>99</v>
      </c>
      <c r="F6" s="24" t="s">
        <v>354</v>
      </c>
    </row>
    <row r="7" spans="2:7" x14ac:dyDescent="0.4">
      <c r="B7" s="80"/>
      <c r="C7" s="18" t="s">
        <v>140</v>
      </c>
      <c r="D7" s="1">
        <v>100</v>
      </c>
      <c r="E7" s="1">
        <v>131</v>
      </c>
      <c r="F7" s="57" t="s">
        <v>355</v>
      </c>
    </row>
    <row r="8" spans="2:7" x14ac:dyDescent="0.4">
      <c r="B8" s="80"/>
      <c r="C8" s="18" t="s">
        <v>141</v>
      </c>
      <c r="D8" s="1">
        <v>132</v>
      </c>
      <c r="E8" s="1">
        <v>163</v>
      </c>
      <c r="F8" s="24" t="s">
        <v>356</v>
      </c>
    </row>
    <row r="9" spans="2:7" x14ac:dyDescent="0.4">
      <c r="B9" s="80"/>
      <c r="C9" s="18" t="s">
        <v>6</v>
      </c>
      <c r="D9" s="1">
        <v>164</v>
      </c>
      <c r="E9" s="1">
        <v>195</v>
      </c>
      <c r="F9" s="58" t="s">
        <v>357</v>
      </c>
    </row>
    <row r="10" spans="2:7" x14ac:dyDescent="0.4">
      <c r="B10" s="80"/>
      <c r="C10" s="18" t="s">
        <v>7</v>
      </c>
      <c r="D10" s="1">
        <v>196</v>
      </c>
      <c r="E10" s="1">
        <v>227</v>
      </c>
      <c r="F10" s="24" t="s">
        <v>358</v>
      </c>
    </row>
    <row r="11" spans="2:7" x14ac:dyDescent="0.4">
      <c r="B11" s="80"/>
      <c r="C11" s="38" t="s">
        <v>8</v>
      </c>
      <c r="D11" s="1">
        <v>228</v>
      </c>
      <c r="E11" s="1">
        <v>259</v>
      </c>
      <c r="F11" s="24" t="s">
        <v>359</v>
      </c>
    </row>
    <row r="12" spans="2:7" x14ac:dyDescent="0.4">
      <c r="B12" s="80"/>
      <c r="C12" s="38" t="s">
        <v>9</v>
      </c>
      <c r="D12" s="1">
        <v>260</v>
      </c>
      <c r="E12" s="1">
        <v>291</v>
      </c>
      <c r="F12" s="24" t="s">
        <v>360</v>
      </c>
    </row>
    <row r="13" spans="2:7" x14ac:dyDescent="0.4">
      <c r="B13" s="80"/>
      <c r="C13" s="39" t="s">
        <v>14</v>
      </c>
      <c r="D13" s="35">
        <v>292</v>
      </c>
      <c r="E13" s="35">
        <v>323</v>
      </c>
      <c r="F13" s="36" t="s">
        <v>361</v>
      </c>
    </row>
    <row r="14" spans="2:7" x14ac:dyDescent="0.4">
      <c r="B14" s="80"/>
      <c r="C14" s="38" t="s">
        <v>15</v>
      </c>
      <c r="D14" s="1">
        <v>324</v>
      </c>
      <c r="E14" s="1">
        <v>355</v>
      </c>
      <c r="F14" s="24" t="s">
        <v>362</v>
      </c>
    </row>
    <row r="15" spans="2:7" x14ac:dyDescent="0.4">
      <c r="B15" s="80"/>
      <c r="C15" s="39" t="s">
        <v>4</v>
      </c>
      <c r="D15" s="35">
        <v>356</v>
      </c>
      <c r="E15" s="35">
        <v>387</v>
      </c>
      <c r="F15" s="36" t="s">
        <v>351</v>
      </c>
    </row>
    <row r="16" spans="2:7" ht="19.5" thickBot="1" x14ac:dyDescent="0.45">
      <c r="B16" s="81"/>
      <c r="C16" s="30" t="s">
        <v>5</v>
      </c>
      <c r="D16" s="1">
        <v>388</v>
      </c>
      <c r="E16" s="1">
        <v>419</v>
      </c>
      <c r="F16" s="27" t="s">
        <v>352</v>
      </c>
    </row>
    <row r="17" spans="2:6" x14ac:dyDescent="0.4">
      <c r="B17" s="75" t="s">
        <v>23</v>
      </c>
      <c r="C17" s="45" t="s">
        <v>24</v>
      </c>
      <c r="D17" s="22">
        <v>420</v>
      </c>
      <c r="E17" s="22">
        <v>449</v>
      </c>
      <c r="F17" s="23" t="s">
        <v>368</v>
      </c>
    </row>
    <row r="18" spans="2:6" x14ac:dyDescent="0.4">
      <c r="B18" s="76"/>
      <c r="C18" s="43" t="s">
        <v>25</v>
      </c>
      <c r="D18" s="1">
        <v>450</v>
      </c>
      <c r="E18" s="1">
        <v>479</v>
      </c>
      <c r="F18" s="24" t="s">
        <v>369</v>
      </c>
    </row>
    <row r="19" spans="2:6" x14ac:dyDescent="0.4">
      <c r="B19" s="76"/>
      <c r="C19" s="43" t="s">
        <v>26</v>
      </c>
      <c r="D19" s="1">
        <v>480</v>
      </c>
      <c r="E19" s="1">
        <v>509</v>
      </c>
      <c r="F19" s="24" t="s">
        <v>370</v>
      </c>
    </row>
    <row r="20" spans="2:6" x14ac:dyDescent="0.4">
      <c r="B20" s="76"/>
      <c r="C20" s="43" t="s">
        <v>19</v>
      </c>
      <c r="D20" s="1">
        <v>510</v>
      </c>
      <c r="E20" s="1">
        <v>539</v>
      </c>
      <c r="F20" s="24" t="s">
        <v>371</v>
      </c>
    </row>
    <row r="21" spans="2:6" x14ac:dyDescent="0.4">
      <c r="B21" s="76"/>
      <c r="C21" s="43" t="s">
        <v>18</v>
      </c>
      <c r="D21" s="1">
        <v>540</v>
      </c>
      <c r="E21" s="1">
        <v>569</v>
      </c>
      <c r="F21" s="24" t="s">
        <v>372</v>
      </c>
    </row>
    <row r="22" spans="2:6" x14ac:dyDescent="0.4">
      <c r="B22" s="76"/>
      <c r="C22" s="46" t="s">
        <v>27</v>
      </c>
      <c r="D22" s="35">
        <v>570</v>
      </c>
      <c r="E22" s="35">
        <v>599</v>
      </c>
      <c r="F22" s="36" t="s">
        <v>373</v>
      </c>
    </row>
    <row r="23" spans="2:6" x14ac:dyDescent="0.4">
      <c r="B23" s="76"/>
      <c r="C23" s="43" t="s">
        <v>28</v>
      </c>
      <c r="D23" s="1">
        <v>600</v>
      </c>
      <c r="E23" s="1">
        <v>629</v>
      </c>
      <c r="F23" s="24" t="s">
        <v>374</v>
      </c>
    </row>
    <row r="24" spans="2:6" x14ac:dyDescent="0.4">
      <c r="B24" s="76"/>
      <c r="C24" s="43" t="s">
        <v>29</v>
      </c>
      <c r="D24" s="1">
        <v>630</v>
      </c>
      <c r="E24" s="1">
        <v>659</v>
      </c>
      <c r="F24" s="24" t="s">
        <v>375</v>
      </c>
    </row>
    <row r="25" spans="2:6" x14ac:dyDescent="0.4">
      <c r="B25" s="76"/>
      <c r="C25" s="43" t="s">
        <v>17</v>
      </c>
      <c r="D25" s="1">
        <v>660</v>
      </c>
      <c r="E25" s="1">
        <v>689</v>
      </c>
      <c r="F25" s="24" t="s">
        <v>376</v>
      </c>
    </row>
    <row r="26" spans="2:6" x14ac:dyDescent="0.4">
      <c r="B26" s="76"/>
      <c r="C26" s="43" t="s">
        <v>20</v>
      </c>
      <c r="D26" s="1">
        <v>690</v>
      </c>
      <c r="E26" s="1">
        <v>719</v>
      </c>
      <c r="F26" s="24" t="s">
        <v>377</v>
      </c>
    </row>
    <row r="27" spans="2:6" x14ac:dyDescent="0.4">
      <c r="B27" s="76"/>
      <c r="C27" s="43" t="s">
        <v>21</v>
      </c>
      <c r="D27" s="1">
        <v>720</v>
      </c>
      <c r="E27" s="1">
        <v>749</v>
      </c>
      <c r="F27" s="24" t="s">
        <v>378</v>
      </c>
    </row>
    <row r="28" spans="2:6" ht="19.5" thickBot="1" x14ac:dyDescent="0.45">
      <c r="B28" s="77"/>
      <c r="C28" s="40" t="s">
        <v>30</v>
      </c>
      <c r="D28" s="26">
        <v>750</v>
      </c>
      <c r="E28" s="26">
        <v>779</v>
      </c>
      <c r="F28" s="27" t="s">
        <v>379</v>
      </c>
    </row>
    <row r="29" spans="2:6" x14ac:dyDescent="0.4">
      <c r="B29" s="75" t="s">
        <v>31</v>
      </c>
      <c r="C29" s="42" t="s">
        <v>24</v>
      </c>
      <c r="D29" s="22">
        <v>780</v>
      </c>
      <c r="E29" s="22">
        <v>809</v>
      </c>
      <c r="F29" s="23" t="s">
        <v>380</v>
      </c>
    </row>
    <row r="30" spans="2:6" x14ac:dyDescent="0.4">
      <c r="B30" s="76"/>
      <c r="C30" s="38" t="s">
        <v>25</v>
      </c>
      <c r="D30" s="1">
        <v>810</v>
      </c>
      <c r="E30" s="1">
        <v>839</v>
      </c>
      <c r="F30" s="24" t="s">
        <v>381</v>
      </c>
    </row>
    <row r="31" spans="2:6" x14ac:dyDescent="0.4">
      <c r="B31" s="76"/>
      <c r="C31" s="38" t="s">
        <v>26</v>
      </c>
      <c r="D31" s="1">
        <v>840</v>
      </c>
      <c r="E31" s="1">
        <v>869</v>
      </c>
      <c r="F31" s="24" t="s">
        <v>382</v>
      </c>
    </row>
    <row r="32" spans="2:6" x14ac:dyDescent="0.4">
      <c r="B32" s="76"/>
      <c r="C32" s="43" t="s">
        <v>19</v>
      </c>
      <c r="D32" s="1">
        <v>870</v>
      </c>
      <c r="E32" s="1">
        <v>899</v>
      </c>
      <c r="F32" s="24" t="s">
        <v>383</v>
      </c>
    </row>
    <row r="33" spans="2:6" x14ac:dyDescent="0.4">
      <c r="B33" s="76"/>
      <c r="C33" s="44" t="s">
        <v>18</v>
      </c>
      <c r="D33" s="1">
        <v>900</v>
      </c>
      <c r="E33" s="1">
        <v>929</v>
      </c>
      <c r="F33" s="24" t="s">
        <v>384</v>
      </c>
    </row>
    <row r="34" spans="2:6" x14ac:dyDescent="0.4">
      <c r="B34" s="76"/>
      <c r="C34" s="37" t="s">
        <v>27</v>
      </c>
      <c r="D34" s="35">
        <v>930</v>
      </c>
      <c r="E34" s="35">
        <v>959</v>
      </c>
      <c r="F34" s="36" t="s">
        <v>385</v>
      </c>
    </row>
    <row r="35" spans="2:6" x14ac:dyDescent="0.4">
      <c r="B35" s="76"/>
      <c r="C35" s="38" t="s">
        <v>28</v>
      </c>
      <c r="D35" s="1">
        <v>960</v>
      </c>
      <c r="E35" s="1">
        <v>989</v>
      </c>
      <c r="F35" s="24" t="s">
        <v>386</v>
      </c>
    </row>
    <row r="36" spans="2:6" x14ac:dyDescent="0.4">
      <c r="B36" s="76"/>
      <c r="C36" s="38" t="s">
        <v>29</v>
      </c>
      <c r="D36" s="1">
        <v>990</v>
      </c>
      <c r="E36" s="1">
        <v>1019</v>
      </c>
      <c r="F36" s="24" t="s">
        <v>387</v>
      </c>
    </row>
    <row r="37" spans="2:6" ht="19.5" thickBot="1" x14ac:dyDescent="0.45">
      <c r="B37" s="77"/>
      <c r="C37" s="40" t="s">
        <v>142</v>
      </c>
      <c r="D37" s="26">
        <v>1020</v>
      </c>
      <c r="E37" s="26">
        <v>1049</v>
      </c>
      <c r="F37" s="27" t="s">
        <v>388</v>
      </c>
    </row>
    <row r="38" spans="2:6" x14ac:dyDescent="0.4">
      <c r="B38" s="79" t="s">
        <v>22</v>
      </c>
      <c r="C38" s="45" t="s">
        <v>17</v>
      </c>
      <c r="D38" s="22">
        <v>1050</v>
      </c>
      <c r="E38" s="22">
        <v>1081</v>
      </c>
      <c r="F38" s="23" t="s">
        <v>363</v>
      </c>
    </row>
    <row r="39" spans="2:6" x14ac:dyDescent="0.4">
      <c r="B39" s="80"/>
      <c r="C39" s="43" t="s">
        <v>18</v>
      </c>
      <c r="D39" s="1">
        <v>1082</v>
      </c>
      <c r="E39" s="1">
        <v>1113</v>
      </c>
      <c r="F39" s="24" t="s">
        <v>364</v>
      </c>
    </row>
    <row r="40" spans="2:6" x14ac:dyDescent="0.4">
      <c r="B40" s="80"/>
      <c r="C40" s="43" t="s">
        <v>19</v>
      </c>
      <c r="D40" s="1">
        <v>1114</v>
      </c>
      <c r="E40" s="1">
        <v>1145</v>
      </c>
      <c r="F40" s="24" t="s">
        <v>365</v>
      </c>
    </row>
    <row r="41" spans="2:6" x14ac:dyDescent="0.4">
      <c r="B41" s="80"/>
      <c r="C41" s="43" t="s">
        <v>20</v>
      </c>
      <c r="D41" s="1">
        <v>1146</v>
      </c>
      <c r="E41" s="1">
        <v>1177</v>
      </c>
      <c r="F41" s="24" t="s">
        <v>366</v>
      </c>
    </row>
    <row r="42" spans="2:6" ht="19.5" thickBot="1" x14ac:dyDescent="0.45">
      <c r="B42" s="81"/>
      <c r="C42" s="40" t="s">
        <v>21</v>
      </c>
      <c r="D42" s="26">
        <v>1178</v>
      </c>
      <c r="E42" s="26">
        <v>1209</v>
      </c>
      <c r="F42" s="27" t="s">
        <v>367</v>
      </c>
    </row>
  </sheetData>
  <autoFilter ref="C3:F42" xr:uid="{253248A2-F1E1-4A8F-B203-47AB0E15C298}">
    <sortState ref="C4:F42">
      <sortCondition ref="D3:D42"/>
    </sortState>
  </autoFilter>
  <mergeCells count="4">
    <mergeCell ref="B5:B16"/>
    <mergeCell ref="B38:B42"/>
    <mergeCell ref="B17:B28"/>
    <mergeCell ref="B29:B37"/>
  </mergeCells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F8D02-4F81-4E69-B22A-F5C03BE51273}">
  <sheetPr codeName="Sheet17"/>
  <dimension ref="B1:G38"/>
  <sheetViews>
    <sheetView workbookViewId="0">
      <selection activeCell="E33" sqref="E33"/>
    </sheetView>
  </sheetViews>
  <sheetFormatPr defaultRowHeight="18.75" x14ac:dyDescent="0.4"/>
  <cols>
    <col min="2" max="3" width="19.25" bestFit="1" customWidth="1"/>
    <col min="4" max="4" width="13" bestFit="1" customWidth="1"/>
    <col min="5" max="5" width="17.25" bestFit="1" customWidth="1"/>
    <col min="6" max="6" width="7.125" bestFit="1" customWidth="1"/>
    <col min="7" max="7" width="15.125" bestFit="1" customWidth="1"/>
  </cols>
  <sheetData>
    <row r="1" spans="2:7" x14ac:dyDescent="0.4">
      <c r="C1" t="s">
        <v>776</v>
      </c>
      <c r="E1" t="s">
        <v>778</v>
      </c>
      <c r="G1" t="s">
        <v>775</v>
      </c>
    </row>
    <row r="2" spans="2:7" x14ac:dyDescent="0.4">
      <c r="B2" s="62" t="s">
        <v>774</v>
      </c>
      <c r="C2" s="62" t="str">
        <f>(集計!G25)</f>
        <v>Intervia明細書</v>
      </c>
      <c r="D2" s="62" t="s">
        <v>777</v>
      </c>
      <c r="E2" s="62" t="str">
        <f>(集計!H25)</f>
        <v>201701~</v>
      </c>
      <c r="F2" s="62" t="s">
        <v>773</v>
      </c>
      <c r="G2" s="63" t="str">
        <f>TEXT(集計!D2,"yyyy年mm月")</f>
        <v>2017年09月</v>
      </c>
    </row>
    <row r="3" spans="2:7" x14ac:dyDescent="0.4">
      <c r="C3" s="1" t="s">
        <v>0</v>
      </c>
      <c r="D3" s="1" t="s">
        <v>1</v>
      </c>
      <c r="E3" s="1" t="s">
        <v>2</v>
      </c>
      <c r="F3" s="1" t="s">
        <v>32</v>
      </c>
    </row>
    <row r="4" spans="2:7" ht="19.5" thickBot="1" x14ac:dyDescent="0.45">
      <c r="C4" s="15" t="s">
        <v>3</v>
      </c>
      <c r="D4" s="15">
        <v>5</v>
      </c>
      <c r="E4" s="15">
        <v>35</v>
      </c>
      <c r="F4" s="15" t="s">
        <v>389</v>
      </c>
    </row>
    <row r="5" spans="2:7" x14ac:dyDescent="0.4">
      <c r="B5" s="79" t="s">
        <v>16</v>
      </c>
      <c r="C5" s="29" t="s">
        <v>6</v>
      </c>
      <c r="D5" s="22">
        <v>36</v>
      </c>
      <c r="E5" s="22">
        <v>67</v>
      </c>
      <c r="F5" s="23" t="s">
        <v>392</v>
      </c>
    </row>
    <row r="6" spans="2:7" x14ac:dyDescent="0.4">
      <c r="B6" s="80"/>
      <c r="C6" s="18" t="s">
        <v>7</v>
      </c>
      <c r="D6" s="1">
        <v>68</v>
      </c>
      <c r="E6" s="1">
        <v>99</v>
      </c>
      <c r="F6" s="24" t="s">
        <v>393</v>
      </c>
    </row>
    <row r="7" spans="2:7" x14ac:dyDescent="0.4">
      <c r="B7" s="80"/>
      <c r="C7" s="18" t="s">
        <v>8</v>
      </c>
      <c r="D7" s="1">
        <v>100</v>
      </c>
      <c r="E7" s="1">
        <v>131</v>
      </c>
      <c r="F7" s="24" t="s">
        <v>394</v>
      </c>
    </row>
    <row r="8" spans="2:7" x14ac:dyDescent="0.4">
      <c r="B8" s="80"/>
      <c r="C8" s="18" t="s">
        <v>9</v>
      </c>
      <c r="D8" s="1">
        <v>132</v>
      </c>
      <c r="E8" s="1">
        <v>163</v>
      </c>
      <c r="F8" s="24" t="s">
        <v>395</v>
      </c>
    </row>
    <row r="9" spans="2:7" x14ac:dyDescent="0.4">
      <c r="B9" s="80"/>
      <c r="C9" s="18" t="s">
        <v>14</v>
      </c>
      <c r="D9" s="1">
        <v>164</v>
      </c>
      <c r="E9" s="1">
        <v>195</v>
      </c>
      <c r="F9" s="24" t="s">
        <v>396</v>
      </c>
    </row>
    <row r="10" spans="2:7" x14ac:dyDescent="0.4">
      <c r="B10" s="80"/>
      <c r="C10" s="18" t="s">
        <v>15</v>
      </c>
      <c r="D10" s="1">
        <v>196</v>
      </c>
      <c r="E10" s="1">
        <v>227</v>
      </c>
      <c r="F10" s="24" t="s">
        <v>397</v>
      </c>
    </row>
    <row r="11" spans="2:7" x14ac:dyDescent="0.4">
      <c r="B11" s="80"/>
      <c r="C11" s="18" t="s">
        <v>4</v>
      </c>
      <c r="D11" s="1">
        <v>228</v>
      </c>
      <c r="E11" s="1">
        <v>259</v>
      </c>
      <c r="F11" s="24" t="s">
        <v>390</v>
      </c>
    </row>
    <row r="12" spans="2:7" ht="19.5" thickBot="1" x14ac:dyDescent="0.45">
      <c r="B12" s="81"/>
      <c r="C12" s="30" t="s">
        <v>5</v>
      </c>
      <c r="D12" s="26">
        <v>260</v>
      </c>
      <c r="E12" s="26">
        <v>291</v>
      </c>
      <c r="F12" s="27" t="s">
        <v>391</v>
      </c>
    </row>
    <row r="13" spans="2:7" x14ac:dyDescent="0.4">
      <c r="B13" s="75" t="s">
        <v>23</v>
      </c>
      <c r="C13" s="45" t="s">
        <v>24</v>
      </c>
      <c r="D13" s="22">
        <v>292</v>
      </c>
      <c r="E13" s="22">
        <v>321</v>
      </c>
      <c r="F13" s="23" t="s">
        <v>403</v>
      </c>
    </row>
    <row r="14" spans="2:7" x14ac:dyDescent="0.4">
      <c r="B14" s="76"/>
      <c r="C14" s="43" t="s">
        <v>25</v>
      </c>
      <c r="D14" s="1">
        <v>322</v>
      </c>
      <c r="E14" s="1">
        <v>351</v>
      </c>
      <c r="F14" s="24" t="s">
        <v>404</v>
      </c>
    </row>
    <row r="15" spans="2:7" x14ac:dyDescent="0.4">
      <c r="B15" s="76"/>
      <c r="C15" s="43" t="s">
        <v>26</v>
      </c>
      <c r="D15" s="1">
        <v>352</v>
      </c>
      <c r="E15" s="1">
        <v>381</v>
      </c>
      <c r="F15" s="24" t="s">
        <v>405</v>
      </c>
    </row>
    <row r="16" spans="2:7" x14ac:dyDescent="0.4">
      <c r="B16" s="76"/>
      <c r="C16" s="43" t="s">
        <v>19</v>
      </c>
      <c r="D16" s="1">
        <v>382</v>
      </c>
      <c r="E16" s="1">
        <v>411</v>
      </c>
      <c r="F16" s="24" t="s">
        <v>406</v>
      </c>
    </row>
    <row r="17" spans="2:6" x14ac:dyDescent="0.4">
      <c r="B17" s="76"/>
      <c r="C17" s="43" t="s">
        <v>18</v>
      </c>
      <c r="D17" s="1">
        <v>412</v>
      </c>
      <c r="E17" s="1">
        <v>441</v>
      </c>
      <c r="F17" s="24" t="s">
        <v>407</v>
      </c>
    </row>
    <row r="18" spans="2:6" ht="18.75" customHeight="1" x14ac:dyDescent="0.4">
      <c r="B18" s="76"/>
      <c r="C18" s="46" t="s">
        <v>27</v>
      </c>
      <c r="D18" s="35">
        <v>442</v>
      </c>
      <c r="E18" s="35">
        <v>471</v>
      </c>
      <c r="F18" s="36" t="s">
        <v>408</v>
      </c>
    </row>
    <row r="19" spans="2:6" x14ac:dyDescent="0.4">
      <c r="B19" s="76"/>
      <c r="C19" s="43" t="s">
        <v>28</v>
      </c>
      <c r="D19" s="1">
        <v>472</v>
      </c>
      <c r="E19" s="1">
        <v>501</v>
      </c>
      <c r="F19" s="24" t="s">
        <v>409</v>
      </c>
    </row>
    <row r="20" spans="2:6" x14ac:dyDescent="0.4">
      <c r="B20" s="76"/>
      <c r="C20" s="43" t="s">
        <v>29</v>
      </c>
      <c r="D20" s="1">
        <v>502</v>
      </c>
      <c r="E20" s="1">
        <v>531</v>
      </c>
      <c r="F20" s="24" t="s">
        <v>410</v>
      </c>
    </row>
    <row r="21" spans="2:6" x14ac:dyDescent="0.4">
      <c r="B21" s="76"/>
      <c r="C21" s="43" t="s">
        <v>17</v>
      </c>
      <c r="D21" s="1">
        <v>532</v>
      </c>
      <c r="E21" s="1">
        <v>561</v>
      </c>
      <c r="F21" s="24" t="s">
        <v>411</v>
      </c>
    </row>
    <row r="22" spans="2:6" ht="18.75" customHeight="1" x14ac:dyDescent="0.4">
      <c r="B22" s="76"/>
      <c r="C22" s="43" t="s">
        <v>20</v>
      </c>
      <c r="D22" s="1">
        <v>562</v>
      </c>
      <c r="E22" s="1">
        <v>591</v>
      </c>
      <c r="F22" s="24" t="s">
        <v>412</v>
      </c>
    </row>
    <row r="23" spans="2:6" x14ac:dyDescent="0.4">
      <c r="B23" s="76"/>
      <c r="C23" s="43" t="s">
        <v>21</v>
      </c>
      <c r="D23" s="1">
        <v>592</v>
      </c>
      <c r="E23" s="1">
        <v>621</v>
      </c>
      <c r="F23" s="24" t="s">
        <v>413</v>
      </c>
    </row>
    <row r="24" spans="2:6" ht="19.5" thickBot="1" x14ac:dyDescent="0.45">
      <c r="B24" s="77"/>
      <c r="C24" s="40" t="s">
        <v>30</v>
      </c>
      <c r="D24" s="26">
        <v>622</v>
      </c>
      <c r="E24" s="26">
        <v>651</v>
      </c>
      <c r="F24" s="27" t="s">
        <v>414</v>
      </c>
    </row>
    <row r="25" spans="2:6" x14ac:dyDescent="0.4">
      <c r="B25" s="75" t="s">
        <v>31</v>
      </c>
      <c r="C25" s="42" t="s">
        <v>24</v>
      </c>
      <c r="D25" s="22">
        <v>652</v>
      </c>
      <c r="E25" s="22">
        <v>681</v>
      </c>
      <c r="F25" s="23" t="s">
        <v>415</v>
      </c>
    </row>
    <row r="26" spans="2:6" x14ac:dyDescent="0.4">
      <c r="B26" s="76"/>
      <c r="C26" s="38" t="s">
        <v>25</v>
      </c>
      <c r="D26" s="1">
        <v>682</v>
      </c>
      <c r="E26" s="1">
        <v>711</v>
      </c>
      <c r="F26" s="24" t="s">
        <v>416</v>
      </c>
    </row>
    <row r="27" spans="2:6" x14ac:dyDescent="0.4">
      <c r="B27" s="76"/>
      <c r="C27" s="38" t="s">
        <v>26</v>
      </c>
      <c r="D27" s="1">
        <v>712</v>
      </c>
      <c r="E27" s="1">
        <v>741</v>
      </c>
      <c r="F27" s="24" t="s">
        <v>417</v>
      </c>
    </row>
    <row r="28" spans="2:6" x14ac:dyDescent="0.4">
      <c r="B28" s="76"/>
      <c r="C28" s="43" t="s">
        <v>19</v>
      </c>
      <c r="D28" s="1">
        <v>742</v>
      </c>
      <c r="E28" s="1">
        <v>771</v>
      </c>
      <c r="F28" s="24" t="s">
        <v>418</v>
      </c>
    </row>
    <row r="29" spans="2:6" x14ac:dyDescent="0.4">
      <c r="B29" s="76"/>
      <c r="C29" s="44" t="s">
        <v>18</v>
      </c>
      <c r="D29" s="1">
        <v>772</v>
      </c>
      <c r="E29" s="1">
        <v>801</v>
      </c>
      <c r="F29" s="24" t="s">
        <v>419</v>
      </c>
    </row>
    <row r="30" spans="2:6" ht="18.75" customHeight="1" x14ac:dyDescent="0.4">
      <c r="B30" s="76"/>
      <c r="C30" s="37" t="s">
        <v>27</v>
      </c>
      <c r="D30" s="35">
        <v>802</v>
      </c>
      <c r="E30" s="35">
        <v>831</v>
      </c>
      <c r="F30" s="36" t="s">
        <v>420</v>
      </c>
    </row>
    <row r="31" spans="2:6" x14ac:dyDescent="0.4">
      <c r="B31" s="76"/>
      <c r="C31" s="38" t="s">
        <v>28</v>
      </c>
      <c r="D31" s="1">
        <v>832</v>
      </c>
      <c r="E31" s="1">
        <v>861</v>
      </c>
      <c r="F31" s="24" t="s">
        <v>421</v>
      </c>
    </row>
    <row r="32" spans="2:6" x14ac:dyDescent="0.4">
      <c r="B32" s="76"/>
      <c r="C32" s="38" t="s">
        <v>29</v>
      </c>
      <c r="D32" s="1">
        <v>862</v>
      </c>
      <c r="E32" s="1">
        <v>891</v>
      </c>
      <c r="F32" s="24" t="s">
        <v>422</v>
      </c>
    </row>
    <row r="33" spans="2:6" ht="19.5" thickBot="1" x14ac:dyDescent="0.45">
      <c r="B33" s="77"/>
      <c r="C33" s="40" t="s">
        <v>17</v>
      </c>
      <c r="D33" s="26">
        <v>892</v>
      </c>
      <c r="E33" s="26">
        <v>921</v>
      </c>
      <c r="F33" s="27" t="s">
        <v>423</v>
      </c>
    </row>
    <row r="34" spans="2:6" ht="18.75" customHeight="1" x14ac:dyDescent="0.4">
      <c r="B34" s="79" t="s">
        <v>22</v>
      </c>
      <c r="C34" s="41" t="s">
        <v>17</v>
      </c>
      <c r="D34" s="35">
        <v>922</v>
      </c>
      <c r="E34" s="35">
        <v>953</v>
      </c>
      <c r="F34" s="36" t="s">
        <v>398</v>
      </c>
    </row>
    <row r="35" spans="2:6" x14ac:dyDescent="0.4">
      <c r="B35" s="80"/>
      <c r="C35" s="19" t="s">
        <v>18</v>
      </c>
      <c r="D35" s="1">
        <v>954</v>
      </c>
      <c r="E35" s="1">
        <v>985</v>
      </c>
      <c r="F35" s="24" t="s">
        <v>399</v>
      </c>
    </row>
    <row r="36" spans="2:6" x14ac:dyDescent="0.4">
      <c r="B36" s="80"/>
      <c r="C36" s="19" t="s">
        <v>19</v>
      </c>
      <c r="D36" s="1">
        <v>986</v>
      </c>
      <c r="E36" s="1">
        <v>1017</v>
      </c>
      <c r="F36" s="24" t="s">
        <v>400</v>
      </c>
    </row>
    <row r="37" spans="2:6" x14ac:dyDescent="0.4">
      <c r="B37" s="80"/>
      <c r="C37" s="19" t="s">
        <v>20</v>
      </c>
      <c r="D37" s="1">
        <v>1018</v>
      </c>
      <c r="E37" s="1">
        <v>1049</v>
      </c>
      <c r="F37" s="24" t="s">
        <v>401</v>
      </c>
    </row>
    <row r="38" spans="2:6" ht="19.5" thickBot="1" x14ac:dyDescent="0.45">
      <c r="B38" s="81"/>
      <c r="C38" s="25" t="s">
        <v>21</v>
      </c>
      <c r="D38" s="26">
        <v>1050</v>
      </c>
      <c r="E38" s="26">
        <v>1081</v>
      </c>
      <c r="F38" s="27" t="s">
        <v>402</v>
      </c>
    </row>
  </sheetData>
  <autoFilter ref="C3:F38" xr:uid="{A4DA6E0D-A889-40CF-AFD8-0AA6DC7A3555}">
    <sortState ref="C4:F38">
      <sortCondition ref="D3:D38"/>
    </sortState>
  </autoFilter>
  <mergeCells count="4">
    <mergeCell ref="B5:B12"/>
    <mergeCell ref="B34:B38"/>
    <mergeCell ref="B13:B24"/>
    <mergeCell ref="B25:B33"/>
  </mergeCells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9B039-CEA7-4B49-9252-92B5AD5FF4D9}">
  <sheetPr codeName="Sheet18"/>
  <dimension ref="B1:G34"/>
  <sheetViews>
    <sheetView workbookViewId="0">
      <selection activeCell="E2" sqref="E2"/>
    </sheetView>
  </sheetViews>
  <sheetFormatPr defaultRowHeight="18.75" x14ac:dyDescent="0.4"/>
  <cols>
    <col min="2" max="3" width="19.25" bestFit="1" customWidth="1"/>
    <col min="4" max="4" width="13" bestFit="1" customWidth="1"/>
    <col min="5" max="5" width="17.25" bestFit="1" customWidth="1"/>
    <col min="6" max="6" width="7.125" bestFit="1" customWidth="1"/>
    <col min="7" max="7" width="15.125" bestFit="1" customWidth="1"/>
  </cols>
  <sheetData>
    <row r="1" spans="2:7" x14ac:dyDescent="0.4">
      <c r="C1" t="s">
        <v>776</v>
      </c>
      <c r="E1" t="s">
        <v>778</v>
      </c>
      <c r="G1" t="s">
        <v>775</v>
      </c>
    </row>
    <row r="2" spans="2:7" x14ac:dyDescent="0.4">
      <c r="B2" s="62" t="s">
        <v>774</v>
      </c>
      <c r="C2" s="62" t="str">
        <f>(集計!G26)</f>
        <v>リナドリーム明細書</v>
      </c>
      <c r="D2" s="62" t="s">
        <v>777</v>
      </c>
      <c r="E2" s="62" t="str">
        <f>(集計!H26)</f>
        <v>201704～</v>
      </c>
      <c r="F2" s="62" t="s">
        <v>773</v>
      </c>
      <c r="G2" s="63" t="str">
        <f>TEXT(集計!D2,"yyyy年mm月")</f>
        <v>2017年09月</v>
      </c>
    </row>
    <row r="3" spans="2:7" x14ac:dyDescent="0.4">
      <c r="C3" s="1" t="s">
        <v>0</v>
      </c>
      <c r="D3" s="1" t="s">
        <v>1</v>
      </c>
      <c r="E3" s="1" t="s">
        <v>2</v>
      </c>
      <c r="F3" s="1" t="s">
        <v>32</v>
      </c>
    </row>
    <row r="4" spans="2:7" ht="19.5" thickBot="1" x14ac:dyDescent="0.45">
      <c r="C4" s="15" t="s">
        <v>3</v>
      </c>
      <c r="D4" s="15">
        <v>5</v>
      </c>
      <c r="E4" s="15">
        <v>35</v>
      </c>
      <c r="F4" s="15" t="s">
        <v>831</v>
      </c>
    </row>
    <row r="5" spans="2:7" x14ac:dyDescent="0.4">
      <c r="B5" s="79" t="s">
        <v>16</v>
      </c>
      <c r="C5" s="29" t="s">
        <v>6</v>
      </c>
      <c r="D5" s="22">
        <v>36</v>
      </c>
      <c r="E5" s="22">
        <v>67</v>
      </c>
      <c r="F5" s="23" t="s">
        <v>832</v>
      </c>
    </row>
    <row r="6" spans="2:7" x14ac:dyDescent="0.4">
      <c r="B6" s="80"/>
      <c r="C6" s="18" t="s">
        <v>7</v>
      </c>
      <c r="D6" s="1">
        <v>68</v>
      </c>
      <c r="E6" s="1">
        <v>99</v>
      </c>
      <c r="F6" s="24" t="s">
        <v>833</v>
      </c>
    </row>
    <row r="7" spans="2:7" x14ac:dyDescent="0.4">
      <c r="B7" s="80"/>
      <c r="C7" s="18" t="s">
        <v>8</v>
      </c>
      <c r="D7" s="1">
        <v>100</v>
      </c>
      <c r="E7" s="1">
        <v>131</v>
      </c>
      <c r="F7" s="24" t="s">
        <v>834</v>
      </c>
    </row>
    <row r="8" spans="2:7" x14ac:dyDescent="0.4">
      <c r="B8" s="80"/>
      <c r="C8" s="18" t="s">
        <v>9</v>
      </c>
      <c r="D8" s="1">
        <v>132</v>
      </c>
      <c r="E8" s="1">
        <v>163</v>
      </c>
      <c r="F8" s="24" t="s">
        <v>835</v>
      </c>
    </row>
    <row r="9" spans="2:7" x14ac:dyDescent="0.4">
      <c r="B9" s="80"/>
      <c r="C9" s="18" t="s">
        <v>14</v>
      </c>
      <c r="D9" s="1">
        <v>164</v>
      </c>
      <c r="E9" s="1">
        <v>195</v>
      </c>
      <c r="F9" s="24" t="s">
        <v>836</v>
      </c>
    </row>
    <row r="10" spans="2:7" x14ac:dyDescent="0.4">
      <c r="B10" s="80"/>
      <c r="C10" s="18" t="s">
        <v>15</v>
      </c>
      <c r="D10" s="1">
        <v>196</v>
      </c>
      <c r="E10" s="1">
        <v>227</v>
      </c>
      <c r="F10" s="24" t="s">
        <v>837</v>
      </c>
    </row>
    <row r="11" spans="2:7" x14ac:dyDescent="0.4">
      <c r="B11" s="80"/>
      <c r="C11" s="18" t="s">
        <v>4</v>
      </c>
      <c r="D11" s="1">
        <v>228</v>
      </c>
      <c r="E11" s="1">
        <v>259</v>
      </c>
      <c r="F11" s="24" t="s">
        <v>838</v>
      </c>
    </row>
    <row r="12" spans="2:7" ht="19.5" thickBot="1" x14ac:dyDescent="0.45">
      <c r="B12" s="81"/>
      <c r="C12" s="30" t="s">
        <v>5</v>
      </c>
      <c r="D12" s="26">
        <v>260</v>
      </c>
      <c r="E12" s="26">
        <v>291</v>
      </c>
      <c r="F12" s="27" t="s">
        <v>839</v>
      </c>
    </row>
    <row r="13" spans="2:7" x14ac:dyDescent="0.4">
      <c r="B13" s="75" t="s">
        <v>23</v>
      </c>
      <c r="C13" s="45" t="s">
        <v>24</v>
      </c>
      <c r="D13" s="22">
        <v>292</v>
      </c>
      <c r="E13" s="22">
        <v>321</v>
      </c>
      <c r="F13" s="23" t="s">
        <v>840</v>
      </c>
    </row>
    <row r="14" spans="2:7" x14ac:dyDescent="0.4">
      <c r="B14" s="76"/>
      <c r="C14" s="43" t="s">
        <v>25</v>
      </c>
      <c r="D14" s="1">
        <v>322</v>
      </c>
      <c r="E14" s="1">
        <v>351</v>
      </c>
      <c r="F14" s="24" t="s">
        <v>841</v>
      </c>
    </row>
    <row r="15" spans="2:7" x14ac:dyDescent="0.4">
      <c r="B15" s="76"/>
      <c r="C15" s="43" t="s">
        <v>26</v>
      </c>
      <c r="D15" s="1">
        <v>352</v>
      </c>
      <c r="E15" s="1">
        <v>381</v>
      </c>
      <c r="F15" s="24" t="s">
        <v>842</v>
      </c>
    </row>
    <row r="16" spans="2:7" x14ac:dyDescent="0.4">
      <c r="B16" s="76"/>
      <c r="C16" s="43" t="s">
        <v>19</v>
      </c>
      <c r="D16" s="1">
        <v>382</v>
      </c>
      <c r="E16" s="1">
        <v>411</v>
      </c>
      <c r="F16" s="24" t="s">
        <v>843</v>
      </c>
    </row>
    <row r="17" spans="2:6" x14ac:dyDescent="0.4">
      <c r="B17" s="76"/>
      <c r="C17" s="43" t="s">
        <v>18</v>
      </c>
      <c r="D17" s="1">
        <v>412</v>
      </c>
      <c r="E17" s="1">
        <v>441</v>
      </c>
      <c r="F17" s="24" t="s">
        <v>844</v>
      </c>
    </row>
    <row r="18" spans="2:6" x14ac:dyDescent="0.4">
      <c r="B18" s="76"/>
      <c r="C18" s="46" t="s">
        <v>27</v>
      </c>
      <c r="D18" s="35">
        <v>442</v>
      </c>
      <c r="E18" s="35">
        <v>471</v>
      </c>
      <c r="F18" s="36" t="s">
        <v>845</v>
      </c>
    </row>
    <row r="19" spans="2:6" x14ac:dyDescent="0.4">
      <c r="B19" s="76"/>
      <c r="C19" s="43" t="s">
        <v>17</v>
      </c>
      <c r="D19" s="1">
        <v>472</v>
      </c>
      <c r="E19" s="1">
        <v>501</v>
      </c>
      <c r="F19" s="24" t="s">
        <v>846</v>
      </c>
    </row>
    <row r="20" spans="2:6" x14ac:dyDescent="0.4">
      <c r="B20" s="76"/>
      <c r="C20" s="43" t="s">
        <v>20</v>
      </c>
      <c r="D20" s="1">
        <v>502</v>
      </c>
      <c r="E20" s="1">
        <v>531</v>
      </c>
      <c r="F20" s="24" t="s">
        <v>847</v>
      </c>
    </row>
    <row r="21" spans="2:6" x14ac:dyDescent="0.4">
      <c r="B21" s="76"/>
      <c r="C21" s="43" t="s">
        <v>21</v>
      </c>
      <c r="D21" s="1">
        <v>532</v>
      </c>
      <c r="E21" s="1">
        <v>561</v>
      </c>
      <c r="F21" s="24" t="s">
        <v>848</v>
      </c>
    </row>
    <row r="22" spans="2:6" ht="19.5" thickBot="1" x14ac:dyDescent="0.45">
      <c r="B22" s="77"/>
      <c r="C22" s="40" t="s">
        <v>30</v>
      </c>
      <c r="D22" s="26">
        <v>562</v>
      </c>
      <c r="E22" s="26">
        <v>591</v>
      </c>
      <c r="F22" s="27" t="s">
        <v>849</v>
      </c>
    </row>
    <row r="23" spans="2:6" x14ac:dyDescent="0.4">
      <c r="B23" s="75" t="s">
        <v>31</v>
      </c>
      <c r="C23" s="42" t="s">
        <v>24</v>
      </c>
      <c r="D23" s="22">
        <v>592</v>
      </c>
      <c r="E23" s="22">
        <v>621</v>
      </c>
      <c r="F23" s="23" t="s">
        <v>850</v>
      </c>
    </row>
    <row r="24" spans="2:6" x14ac:dyDescent="0.4">
      <c r="B24" s="76"/>
      <c r="C24" s="38" t="s">
        <v>25</v>
      </c>
      <c r="D24" s="1">
        <v>622</v>
      </c>
      <c r="E24" s="1">
        <v>651</v>
      </c>
      <c r="F24" s="24" t="s">
        <v>851</v>
      </c>
    </row>
    <row r="25" spans="2:6" x14ac:dyDescent="0.4">
      <c r="B25" s="76"/>
      <c r="C25" s="38" t="s">
        <v>26</v>
      </c>
      <c r="D25" s="1">
        <v>652</v>
      </c>
      <c r="E25" s="1">
        <v>681</v>
      </c>
      <c r="F25" s="24" t="s">
        <v>852</v>
      </c>
    </row>
    <row r="26" spans="2:6" x14ac:dyDescent="0.4">
      <c r="B26" s="76"/>
      <c r="C26" s="43" t="s">
        <v>19</v>
      </c>
      <c r="D26" s="1">
        <v>682</v>
      </c>
      <c r="E26" s="1">
        <v>711</v>
      </c>
      <c r="F26" s="24" t="s">
        <v>853</v>
      </c>
    </row>
    <row r="27" spans="2:6" x14ac:dyDescent="0.4">
      <c r="B27" s="76"/>
      <c r="C27" s="44" t="s">
        <v>18</v>
      </c>
      <c r="D27" s="1">
        <v>712</v>
      </c>
      <c r="E27" s="1">
        <v>741</v>
      </c>
      <c r="F27" s="24" t="s">
        <v>854</v>
      </c>
    </row>
    <row r="28" spans="2:6" x14ac:dyDescent="0.4">
      <c r="B28" s="76"/>
      <c r="C28" s="37" t="s">
        <v>27</v>
      </c>
      <c r="D28" s="35">
        <v>742</v>
      </c>
      <c r="E28" s="35">
        <v>771</v>
      </c>
      <c r="F28" s="36" t="s">
        <v>855</v>
      </c>
    </row>
    <row r="29" spans="2:6" ht="19.5" thickBot="1" x14ac:dyDescent="0.45">
      <c r="B29" s="77"/>
      <c r="C29" s="40" t="s">
        <v>17</v>
      </c>
      <c r="D29" s="26">
        <v>772</v>
      </c>
      <c r="E29" s="26">
        <v>801</v>
      </c>
      <c r="F29" s="27" t="s">
        <v>856</v>
      </c>
    </row>
    <row r="30" spans="2:6" x14ac:dyDescent="0.4">
      <c r="B30" s="79" t="s">
        <v>22</v>
      </c>
      <c r="C30" s="41" t="s">
        <v>17</v>
      </c>
      <c r="D30" s="35">
        <v>802</v>
      </c>
      <c r="E30" s="35">
        <v>833</v>
      </c>
      <c r="F30" s="36" t="s">
        <v>857</v>
      </c>
    </row>
    <row r="31" spans="2:6" x14ac:dyDescent="0.4">
      <c r="B31" s="80"/>
      <c r="C31" s="19" t="s">
        <v>18</v>
      </c>
      <c r="D31" s="1">
        <v>834</v>
      </c>
      <c r="E31" s="1">
        <v>865</v>
      </c>
      <c r="F31" s="24" t="s">
        <v>858</v>
      </c>
    </row>
    <row r="32" spans="2:6" x14ac:dyDescent="0.4">
      <c r="B32" s="80"/>
      <c r="C32" s="19" t="s">
        <v>19</v>
      </c>
      <c r="D32" s="1">
        <v>866</v>
      </c>
      <c r="E32" s="1">
        <v>897</v>
      </c>
      <c r="F32" s="24" t="s">
        <v>859</v>
      </c>
    </row>
    <row r="33" spans="2:6" x14ac:dyDescent="0.4">
      <c r="B33" s="80"/>
      <c r="C33" s="19" t="s">
        <v>20</v>
      </c>
      <c r="D33" s="1">
        <v>898</v>
      </c>
      <c r="E33" s="1">
        <v>929</v>
      </c>
      <c r="F33" s="24" t="s">
        <v>860</v>
      </c>
    </row>
    <row r="34" spans="2:6" ht="19.5" thickBot="1" x14ac:dyDescent="0.45">
      <c r="B34" s="81"/>
      <c r="C34" s="25" t="s">
        <v>21</v>
      </c>
      <c r="D34" s="26">
        <v>930</v>
      </c>
      <c r="E34" s="26">
        <v>961</v>
      </c>
      <c r="F34" s="27" t="s">
        <v>861</v>
      </c>
    </row>
  </sheetData>
  <autoFilter ref="C3:F34" xr:uid="{203FA286-3A9B-46FD-ABD5-A319DBE4218D}">
    <sortState ref="C4:F34">
      <sortCondition ref="D3:D34"/>
    </sortState>
  </autoFilter>
  <mergeCells count="4">
    <mergeCell ref="B5:B12"/>
    <mergeCell ref="B30:B34"/>
    <mergeCell ref="B13:B22"/>
    <mergeCell ref="B23:B29"/>
  </mergeCells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17F9-71A0-4BBB-9152-0299244B79F5}">
  <sheetPr codeName="Sheet19"/>
  <dimension ref="B1:G33"/>
  <sheetViews>
    <sheetView workbookViewId="0">
      <selection activeCell="H22" sqref="H22"/>
    </sheetView>
  </sheetViews>
  <sheetFormatPr defaultRowHeight="18.75" x14ac:dyDescent="0.4"/>
  <cols>
    <col min="2" max="3" width="19.25" bestFit="1" customWidth="1"/>
    <col min="4" max="4" width="13" bestFit="1" customWidth="1"/>
    <col min="5" max="5" width="17.25" bestFit="1" customWidth="1"/>
    <col min="6" max="6" width="7.125" bestFit="1" customWidth="1"/>
    <col min="7" max="7" width="15.125" bestFit="1" customWidth="1"/>
  </cols>
  <sheetData>
    <row r="1" spans="2:7" x14ac:dyDescent="0.4">
      <c r="C1" t="s">
        <v>776</v>
      </c>
      <c r="E1" t="s">
        <v>778</v>
      </c>
      <c r="G1" t="s">
        <v>775</v>
      </c>
    </row>
    <row r="2" spans="2:7" x14ac:dyDescent="0.4">
      <c r="B2" s="62" t="s">
        <v>774</v>
      </c>
      <c r="C2" s="62" t="str">
        <f>(集計!G27)</f>
        <v xml:space="preserve">ハートフルエミ明細書 </v>
      </c>
      <c r="D2" s="62" t="s">
        <v>777</v>
      </c>
      <c r="E2" s="62" t="str">
        <f>(集計!H27)</f>
        <v>201604～</v>
      </c>
      <c r="F2" s="62" t="s">
        <v>773</v>
      </c>
      <c r="G2" s="63" t="str">
        <f>TEXT(集計!D2,"yyyy年mm月")</f>
        <v>2017年09月</v>
      </c>
    </row>
    <row r="3" spans="2:7" x14ac:dyDescent="0.4">
      <c r="C3" s="1" t="s">
        <v>0</v>
      </c>
      <c r="D3" s="1" t="s">
        <v>1</v>
      </c>
      <c r="E3" s="1" t="s">
        <v>2</v>
      </c>
      <c r="F3" s="1" t="s">
        <v>32</v>
      </c>
    </row>
    <row r="4" spans="2:7" ht="19.5" thickBot="1" x14ac:dyDescent="0.45">
      <c r="C4" s="15" t="s">
        <v>3</v>
      </c>
      <c r="D4" s="15">
        <v>5</v>
      </c>
      <c r="E4" s="15">
        <v>35</v>
      </c>
      <c r="F4" s="15" t="s">
        <v>426</v>
      </c>
    </row>
    <row r="5" spans="2:7" x14ac:dyDescent="0.4">
      <c r="B5" s="79" t="s">
        <v>16</v>
      </c>
      <c r="C5" s="29" t="s">
        <v>6</v>
      </c>
      <c r="D5" s="22">
        <v>36</v>
      </c>
      <c r="E5" s="22">
        <v>67</v>
      </c>
      <c r="F5" s="23" t="s">
        <v>429</v>
      </c>
    </row>
    <row r="6" spans="2:7" x14ac:dyDescent="0.4">
      <c r="B6" s="80"/>
      <c r="C6" s="18" t="s">
        <v>7</v>
      </c>
      <c r="D6" s="1">
        <v>68</v>
      </c>
      <c r="E6" s="1">
        <v>99</v>
      </c>
      <c r="F6" s="24" t="s">
        <v>430</v>
      </c>
    </row>
    <row r="7" spans="2:7" x14ac:dyDescent="0.4">
      <c r="B7" s="80"/>
      <c r="C7" s="18" t="s">
        <v>8</v>
      </c>
      <c r="D7" s="1">
        <v>100</v>
      </c>
      <c r="E7" s="1">
        <v>131</v>
      </c>
      <c r="F7" s="24" t="s">
        <v>431</v>
      </c>
    </row>
    <row r="8" spans="2:7" x14ac:dyDescent="0.4">
      <c r="B8" s="80"/>
      <c r="C8" s="18" t="s">
        <v>9</v>
      </c>
      <c r="D8" s="1">
        <v>132</v>
      </c>
      <c r="E8" s="1">
        <v>163</v>
      </c>
      <c r="F8" s="24" t="s">
        <v>432</v>
      </c>
    </row>
    <row r="9" spans="2:7" x14ac:dyDescent="0.4">
      <c r="B9" s="80"/>
      <c r="C9" s="18" t="s">
        <v>14</v>
      </c>
      <c r="D9" s="1">
        <v>164</v>
      </c>
      <c r="E9" s="1">
        <v>195</v>
      </c>
      <c r="F9" s="24" t="s">
        <v>433</v>
      </c>
    </row>
    <row r="10" spans="2:7" x14ac:dyDescent="0.4">
      <c r="B10" s="80"/>
      <c r="C10" s="18" t="s">
        <v>15</v>
      </c>
      <c r="D10" s="1">
        <v>196</v>
      </c>
      <c r="E10" s="1">
        <v>227</v>
      </c>
      <c r="F10" s="24" t="s">
        <v>434</v>
      </c>
    </row>
    <row r="11" spans="2:7" x14ac:dyDescent="0.4">
      <c r="B11" s="80"/>
      <c r="C11" s="18" t="s">
        <v>4</v>
      </c>
      <c r="D11" s="1">
        <v>228</v>
      </c>
      <c r="E11" s="1">
        <v>259</v>
      </c>
      <c r="F11" s="24" t="s">
        <v>427</v>
      </c>
    </row>
    <row r="12" spans="2:7" ht="19.5" thickBot="1" x14ac:dyDescent="0.45">
      <c r="B12" s="81"/>
      <c r="C12" s="30" t="s">
        <v>5</v>
      </c>
      <c r="D12" s="26">
        <v>260</v>
      </c>
      <c r="E12" s="26">
        <v>291</v>
      </c>
      <c r="F12" s="27" t="s">
        <v>428</v>
      </c>
    </row>
    <row r="13" spans="2:7" x14ac:dyDescent="0.4">
      <c r="B13" s="75" t="s">
        <v>23</v>
      </c>
      <c r="C13" s="21" t="s">
        <v>24</v>
      </c>
      <c r="D13" s="22">
        <v>292</v>
      </c>
      <c r="E13" s="22">
        <v>321</v>
      </c>
      <c r="F13" s="23" t="s">
        <v>435</v>
      </c>
    </row>
    <row r="14" spans="2:7" x14ac:dyDescent="0.4">
      <c r="B14" s="76"/>
      <c r="C14" s="19" t="s">
        <v>25</v>
      </c>
      <c r="D14" s="1">
        <v>322</v>
      </c>
      <c r="E14" s="1">
        <v>351</v>
      </c>
      <c r="F14" s="24" t="s">
        <v>436</v>
      </c>
    </row>
    <row r="15" spans="2:7" x14ac:dyDescent="0.4">
      <c r="B15" s="76"/>
      <c r="C15" s="19" t="s">
        <v>26</v>
      </c>
      <c r="D15" s="1">
        <v>352</v>
      </c>
      <c r="E15" s="1">
        <v>381</v>
      </c>
      <c r="F15" s="24" t="s">
        <v>437</v>
      </c>
    </row>
    <row r="16" spans="2:7" x14ac:dyDescent="0.4">
      <c r="B16" s="76"/>
      <c r="C16" s="19" t="s">
        <v>19</v>
      </c>
      <c r="D16" s="1">
        <v>382</v>
      </c>
      <c r="E16" s="1">
        <v>411</v>
      </c>
      <c r="F16" s="24" t="s">
        <v>438</v>
      </c>
    </row>
    <row r="17" spans="2:6" x14ac:dyDescent="0.4">
      <c r="B17" s="76"/>
      <c r="C17" s="19" t="s">
        <v>18</v>
      </c>
      <c r="D17" s="1">
        <v>412</v>
      </c>
      <c r="E17" s="1">
        <v>441</v>
      </c>
      <c r="F17" s="24" t="s">
        <v>439</v>
      </c>
    </row>
    <row r="18" spans="2:6" x14ac:dyDescent="0.4">
      <c r="B18" s="76"/>
      <c r="C18" s="19" t="s">
        <v>27</v>
      </c>
      <c r="D18" s="1">
        <v>442</v>
      </c>
      <c r="E18" s="1">
        <v>471</v>
      </c>
      <c r="F18" s="24" t="s">
        <v>440</v>
      </c>
    </row>
    <row r="19" spans="2:6" x14ac:dyDescent="0.4">
      <c r="B19" s="76"/>
      <c r="C19" s="19" t="s">
        <v>424</v>
      </c>
      <c r="D19" s="1">
        <v>472</v>
      </c>
      <c r="E19" s="1">
        <v>501</v>
      </c>
      <c r="F19" s="24" t="s">
        <v>441</v>
      </c>
    </row>
    <row r="20" spans="2:6" x14ac:dyDescent="0.4">
      <c r="B20" s="76"/>
      <c r="C20" s="19" t="s">
        <v>425</v>
      </c>
      <c r="D20" s="1">
        <v>502</v>
      </c>
      <c r="E20" s="1">
        <v>531</v>
      </c>
      <c r="F20" s="24" t="s">
        <v>442</v>
      </c>
    </row>
    <row r="21" spans="2:6" x14ac:dyDescent="0.4">
      <c r="B21" s="76"/>
      <c r="C21" s="19" t="s">
        <v>17</v>
      </c>
      <c r="D21" s="1">
        <v>532</v>
      </c>
      <c r="E21" s="1">
        <v>561</v>
      </c>
      <c r="F21" s="24" t="s">
        <v>443</v>
      </c>
    </row>
    <row r="22" spans="2:6" x14ac:dyDescent="0.4">
      <c r="B22" s="76"/>
      <c r="C22" s="19" t="s">
        <v>20</v>
      </c>
      <c r="D22" s="1">
        <v>562</v>
      </c>
      <c r="E22" s="1">
        <v>591</v>
      </c>
      <c r="F22" s="24" t="s">
        <v>444</v>
      </c>
    </row>
    <row r="23" spans="2:6" x14ac:dyDescent="0.4">
      <c r="B23" s="76"/>
      <c r="C23" s="19" t="s">
        <v>21</v>
      </c>
      <c r="D23" s="1">
        <v>592</v>
      </c>
      <c r="E23" s="1">
        <v>621</v>
      </c>
      <c r="F23" s="24" t="s">
        <v>445</v>
      </c>
    </row>
    <row r="24" spans="2:6" ht="19.5" thickBot="1" x14ac:dyDescent="0.45">
      <c r="B24" s="77"/>
      <c r="C24" s="25" t="s">
        <v>30</v>
      </c>
      <c r="D24" s="26">
        <v>622</v>
      </c>
      <c r="E24" s="26">
        <v>651</v>
      </c>
      <c r="F24" s="27" t="s">
        <v>446</v>
      </c>
    </row>
    <row r="25" spans="2:6" x14ac:dyDescent="0.4">
      <c r="B25" s="75" t="s">
        <v>31</v>
      </c>
      <c r="C25" s="29" t="s">
        <v>24</v>
      </c>
      <c r="D25" s="22">
        <v>652</v>
      </c>
      <c r="E25" s="22">
        <v>681</v>
      </c>
      <c r="F25" s="23" t="s">
        <v>447</v>
      </c>
    </row>
    <row r="26" spans="2:6" x14ac:dyDescent="0.4">
      <c r="B26" s="76"/>
      <c r="C26" s="18" t="s">
        <v>25</v>
      </c>
      <c r="D26" s="1">
        <v>682</v>
      </c>
      <c r="E26" s="1">
        <v>711</v>
      </c>
      <c r="F26" s="24" t="s">
        <v>448</v>
      </c>
    </row>
    <row r="27" spans="2:6" x14ac:dyDescent="0.4">
      <c r="B27" s="76"/>
      <c r="C27" s="18" t="s">
        <v>26</v>
      </c>
      <c r="D27" s="1">
        <v>712</v>
      </c>
      <c r="E27" s="1">
        <v>741</v>
      </c>
      <c r="F27" s="24" t="s">
        <v>449</v>
      </c>
    </row>
    <row r="28" spans="2:6" x14ac:dyDescent="0.4">
      <c r="B28" s="76"/>
      <c r="C28" s="19" t="s">
        <v>19</v>
      </c>
      <c r="D28" s="1">
        <v>742</v>
      </c>
      <c r="E28" s="1">
        <v>771</v>
      </c>
      <c r="F28" s="24" t="s">
        <v>450</v>
      </c>
    </row>
    <row r="29" spans="2:6" x14ac:dyDescent="0.4">
      <c r="B29" s="76"/>
      <c r="C29" s="20" t="s">
        <v>18</v>
      </c>
      <c r="D29" s="1">
        <v>772</v>
      </c>
      <c r="E29" s="1">
        <v>801</v>
      </c>
      <c r="F29" s="24" t="s">
        <v>451</v>
      </c>
    </row>
    <row r="30" spans="2:6" x14ac:dyDescent="0.4">
      <c r="B30" s="76"/>
      <c r="C30" s="18" t="s">
        <v>27</v>
      </c>
      <c r="D30" s="1">
        <v>802</v>
      </c>
      <c r="E30" s="1">
        <v>831</v>
      </c>
      <c r="F30" s="24" t="s">
        <v>452</v>
      </c>
    </row>
    <row r="31" spans="2:6" x14ac:dyDescent="0.4">
      <c r="B31" s="76"/>
      <c r="C31" s="28" t="s">
        <v>424</v>
      </c>
      <c r="D31" s="15">
        <v>832</v>
      </c>
      <c r="E31" s="15">
        <v>861</v>
      </c>
      <c r="F31" s="32" t="s">
        <v>453</v>
      </c>
    </row>
    <row r="32" spans="2:6" x14ac:dyDescent="0.4">
      <c r="B32" s="76"/>
      <c r="C32" s="28" t="s">
        <v>425</v>
      </c>
      <c r="D32" s="15">
        <v>862</v>
      </c>
      <c r="E32" s="15">
        <v>891</v>
      </c>
      <c r="F32" s="32" t="s">
        <v>455</v>
      </c>
    </row>
    <row r="33" spans="2:6" ht="19.5" thickBot="1" x14ac:dyDescent="0.45">
      <c r="B33" s="77"/>
      <c r="C33" s="25" t="s">
        <v>17</v>
      </c>
      <c r="D33" s="26">
        <v>892</v>
      </c>
      <c r="E33" s="26">
        <v>921</v>
      </c>
      <c r="F33" s="27" t="s">
        <v>454</v>
      </c>
    </row>
  </sheetData>
  <autoFilter ref="C3:F33" xr:uid="{F96E4E5A-8E41-4D89-99C1-5DEBF351BCAC}">
    <sortState ref="C4:F33">
      <sortCondition ref="D3:D33"/>
    </sortState>
  </autoFilter>
  <mergeCells count="3">
    <mergeCell ref="B5:B12"/>
    <mergeCell ref="B13:B24"/>
    <mergeCell ref="B25:B3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集計</vt:lpstr>
      <vt:lpstr>DET</vt:lpstr>
      <vt:lpstr>カラコンワークス</vt:lpstr>
      <vt:lpstr>サンシティ</vt:lpstr>
      <vt:lpstr>中央コンタクト</vt:lpstr>
      <vt:lpstr>シンシア</vt:lpstr>
      <vt:lpstr>サンプル</vt:lpstr>
      <vt:lpstr>サンプル中央コンタクト</vt:lpstr>
      <vt:lpstr>1day10枚14.0mm</vt:lpstr>
      <vt:lpstr>1day10枚14.2mm</vt:lpstr>
      <vt:lpstr>1day30枚14.2mm</vt:lpstr>
      <vt:lpstr>1day10枚14.5mm</vt:lpstr>
      <vt:lpstr>1dayクリア</vt:lpstr>
      <vt:lpstr>1month</vt:lpstr>
      <vt:lpstr>SBY</vt:lpstr>
      <vt:lpstr>ライズアップ</vt:lpstr>
      <vt:lpstr>ロキ</vt:lpstr>
      <vt:lpstr>アミジェス</vt:lpstr>
      <vt:lpstr>クリア</vt:lpstr>
      <vt:lpstr>幸人</vt:lpstr>
      <vt:lpstr>DET香港</vt:lpstr>
      <vt:lpstr>カトデン</vt:lpstr>
      <vt:lpstr>yanya&amp;yanya</vt:lpstr>
      <vt:lpstr>smbrand</vt:lpstr>
      <vt:lpstr>intervia</vt:lpstr>
      <vt:lpstr>リナドリーム</vt:lpstr>
      <vt:lpstr>ハートフルエミ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kosugi</dc:creator>
  <cp:lastModifiedBy>kosugi</cp:lastModifiedBy>
  <cp:lastPrinted>2017-12-11T02:31:12Z</cp:lastPrinted>
  <dcterms:created xsi:type="dcterms:W3CDTF">2017-11-21T09:57:42Z</dcterms:created>
  <dcterms:modified xsi:type="dcterms:W3CDTF">2017-12-28T05:54:42Z</dcterms:modified>
</cp:coreProperties>
</file>